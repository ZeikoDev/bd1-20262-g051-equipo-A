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agrama ER (corregido)" sheetId="1" state="visible" r:id="rId1"/>
    <sheet xmlns:r="http://schemas.openxmlformats.org/officeDocument/2006/relationships" name="Inventario Modelo Lógico (corre" sheetId="2" state="visible" r:id="rId2"/>
    <sheet xmlns:r="http://schemas.openxmlformats.org/officeDocument/2006/relationships" name="Trazabilidad EA2-EA3" sheetId="3" state="visible" r:id="rId3"/>
    <sheet xmlns:r="http://schemas.openxmlformats.org/officeDocument/2006/relationships" name="Tipos de Dato" sheetId="4" state="visible" r:id="rId4"/>
    <sheet xmlns:r="http://schemas.openxmlformats.org/officeDocument/2006/relationships" name="DICCIONARIO DATOS (Físic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Calibri"/>
      <b val="1"/>
      <color rgb="FF000000"/>
      <sz val="12"/>
    </font>
    <font>
      <name val="Calibri"/>
      <b val="1"/>
      <color rgb="FFFFFFFF"/>
      <sz val="14"/>
    </font>
    <font>
      <name val="Calibri"/>
      <b val="1"/>
      <color rgb="FFFFFFFF"/>
      <sz val="18"/>
    </font>
    <font>
      <name val="Calibri"/>
      <b val="1"/>
      <color theme="1"/>
      <sz val="12"/>
    </font>
    <font>
      <name val="Calibri"/>
      <b val="1"/>
      <color rgb="FFFFFFFF"/>
      <sz val="12"/>
    </font>
    <font>
      <name val="Arial"/>
      <color theme="1"/>
      <scheme val="minor"/>
    </font>
    <font>
      <name val="Calibri"/>
      <color theme="1"/>
      <sz val="12"/>
    </font>
    <font/>
    <font>
      <name val="Calibri"/>
      <b val="1"/>
      <color rgb="FF0000FF"/>
      <sz val="12"/>
    </font>
    <font>
      <name val="Calibri"/>
      <i val="1"/>
      <color rgb="FF666666"/>
      <sz val="12"/>
    </font>
    <font>
      <name val="Calibri"/>
      <b val="1"/>
      <i val="1"/>
      <color rgb="FFE06666"/>
      <sz val="12"/>
    </font>
    <font>
      <b val="1"/>
      <sz val="14"/>
    </font>
    <font>
      <b val="1"/>
    </font>
  </fonts>
  <fills count="7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8" fillId="0" borderId="4" pivotButton="0" quotePrefix="0" xfId="0"/>
    <xf numFmtId="0" fontId="8" fillId="0" borderId="5" pivotButton="0" quotePrefix="0" xfId="0"/>
    <xf numFmtId="0" fontId="8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8" fillId="0" borderId="8" pivotButton="0" quotePrefix="0" xfId="0"/>
    <xf numFmtId="0" fontId="8" fillId="0" borderId="9" pivotButton="0" quotePrefix="0" xfId="0"/>
    <xf numFmtId="0" fontId="7" fillId="0" borderId="7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" fillId="6" borderId="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6" borderId="7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7" fillId="0" borderId="0" pivotButton="0" quotePrefix="0" xfId="0"/>
    <xf numFmtId="0" fontId="11" fillId="5" borderId="7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  <xf numFmtId="0" fontId="13" fillId="0" borderId="0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" fillId="4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4287500" cy="11125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4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37" t="inlineStr">
        <is>
          <t>Diagrama Entidad-Relación (Chen) corregido - Red Social Pascualina</t>
        </is>
      </c>
    </row>
    <row r="2">
      <c r="A2" t="inlineStr">
        <is>
          <t>Rectángulo = entidad; rectángulo doble = entidad débil; rombo = relación (verbo en 3a persona); rombo doble = relación identificadora. Cardinalidades 1:1, 1:N y N:M sobre cada línea.</t>
        </is>
      </c>
    </row>
    <row r="24">
      <c r="K24" s="1" t="n"/>
    </row>
    <row r="25">
      <c r="K25" s="1" t="n"/>
    </row>
    <row r="26">
      <c r="K26" s="1" t="n"/>
    </row>
    <row r="27">
      <c r="K27" s="1" t="n"/>
    </row>
    <row r="28">
      <c r="K28" s="1" t="n"/>
    </row>
    <row r="29">
      <c r="K29" s="1" t="n"/>
    </row>
    <row r="30">
      <c r="K30" s="1" t="n"/>
    </row>
    <row r="31">
      <c r="K31" s="1" t="n"/>
    </row>
    <row r="32">
      <c r="K32" s="1" t="n"/>
    </row>
    <row r="33">
      <c r="K33" s="1" t="n"/>
    </row>
    <row r="34">
      <c r="K34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7"/>
  <sheetViews>
    <sheetView workbookViewId="0">
      <selection activeCell="A1" sqref="A1"/>
    </sheetView>
  </sheetViews>
  <sheetFormatPr baseColWidth="8" defaultColWidth="12.63" defaultRowHeight="15" customHeight="1"/>
  <cols>
    <col width="7" customWidth="1" style="38" min="1" max="1"/>
    <col width="29.5" customWidth="1" style="38" min="2" max="2"/>
    <col width="50.75" customWidth="1" style="38" min="3" max="3"/>
    <col width="60" customWidth="1" style="38" min="4" max="4"/>
  </cols>
  <sheetData>
    <row r="1" ht="28.5" customHeight="1" s="38">
      <c r="A1" s="2" t="inlineStr">
        <is>
          <t>Tablas resultantes del Diccionario Genérico (Modelo Lógico)</t>
        </is>
      </c>
      <c r="E1" s="3" t="n"/>
      <c r="F1" s="3" t="n"/>
      <c r="G1" s="3" t="n"/>
      <c r="H1" s="3" t="n"/>
      <c r="I1" s="3" t="n"/>
    </row>
    <row r="2" ht="36" customHeight="1" s="38">
      <c r="A2" s="10" t="inlineStr">
        <is>
          <t>#</t>
        </is>
      </c>
      <c r="B2" s="10" t="inlineStr">
        <is>
          <t>Tabla</t>
        </is>
      </c>
      <c r="C2" s="10" t="inlineStr">
        <is>
          <t>Descripción Tabla</t>
        </is>
      </c>
      <c r="D2" s="10" t="inlineStr">
        <is>
          <t>Observaciones</t>
        </is>
      </c>
    </row>
    <row r="3" ht="45" customHeight="1" s="38">
      <c r="A3" s="5" t="n">
        <v>1</v>
      </c>
      <c r="B3" s="39" t="inlineStr">
        <is>
          <t>rol</t>
        </is>
      </c>
      <c r="C3" s="39" t="inlineStr">
        <is>
          <t>Catálogo de niveles de permiso con que un usuario opera en la Red (administrador, auxiliar, miembro, visitante).</t>
        </is>
      </c>
      <c r="D3" s="39" t="inlineStr">
        <is>
          <t>Entidad. Catálogo independiente. Se elimina el FK a usuario para evitar referencia circular.</t>
        </is>
      </c>
    </row>
    <row r="4" ht="45" customHeight="1" s="38">
      <c r="A4" s="5">
        <f>A3+1</f>
        <v/>
      </c>
      <c r="B4" s="39" t="inlineStr">
        <is>
          <t>tipo_usuario</t>
        </is>
      </c>
      <c r="C4" s="39" t="inlineStr">
        <is>
          <t>Catálogo del vínculo del usuario con la Institución (estudiante, docente, egresado, empleado, empresario).</t>
        </is>
      </c>
      <c r="D4" s="39" t="inlineStr">
        <is>
          <t>Entidad. Catálogo independiente. Se elimina id_usuario_registra (referencia circular con usuario).</t>
        </is>
      </c>
    </row>
    <row r="5" ht="45" customHeight="1" s="38">
      <c r="A5" s="5">
        <f>A4+1</f>
        <v/>
      </c>
      <c r="B5" s="39" t="inlineStr">
        <is>
          <t>usuario</t>
        </is>
      </c>
      <c r="C5" s="39" t="inlineStr">
        <is>
          <t>Persona registrada en la Red Social Pascualina; eje de toda la actividad de la plataforma.</t>
        </is>
      </c>
      <c r="D5" s="39" t="inlineStr">
        <is>
          <t>Entidad. Absorbe las relaciones N:1 'tiene rol' y 'tiene tipo' como FK. Se eliminan usuario_tiene_rol y usuario_tiene_tipo.</t>
        </is>
      </c>
    </row>
    <row r="6" ht="45" customHeight="1" s="38">
      <c r="A6" s="5">
        <f>A5+1</f>
        <v/>
      </c>
      <c r="B6" s="39" t="inlineStr">
        <is>
          <t>cuenta</t>
        </is>
      </c>
      <c r="C6" s="39" t="inlineStr">
        <is>
          <t>Credenciales y estado de acceso del usuario, separadas de sus datos personales.</t>
        </is>
      </c>
      <c r="D6" s="39" t="inlineStr">
        <is>
          <t>Entidad débil (1:1). PK = FK a usuario. Se elimina usuario_tiene_cuenta (duplicaba la relación 1:1).</t>
        </is>
      </c>
    </row>
    <row r="7" ht="45" customHeight="1" s="38">
      <c r="A7" s="5">
        <f>A6+1</f>
        <v/>
      </c>
      <c r="B7" s="39" t="inlineStr">
        <is>
          <t>grupo</t>
        </is>
      </c>
      <c r="C7" s="39" t="inlineStr">
        <is>
          <t>Comunidad de usuarios reunida por un interés común: grupos de estudio, semilleros, hackatones, clubes.</t>
        </is>
      </c>
      <c r="D7" s="39" t="inlineStr">
        <is>
          <t>Entidad. Se agregan es_privado y estado_grupo del modelo conceptual.</t>
        </is>
      </c>
    </row>
    <row r="8" ht="45" customHeight="1" s="38">
      <c r="A8" s="5">
        <f>A7+1</f>
        <v/>
      </c>
      <c r="B8" s="39" t="inlineStr">
        <is>
          <t>perfil</t>
        </is>
      </c>
      <c r="C8" s="39" t="inlineStr">
        <is>
          <t>Información pública e intereses de un usuario o de un grupo; incluye atributos semiestructurados JSONB.</t>
        </is>
      </c>
      <c r="D8" s="39" t="inlineStr">
        <is>
          <t>Entidad. Absorbe cuenta_tiene_perfil y grupo_define_perfil. CHECK de exclusividad usuario/grupo.</t>
        </is>
      </c>
    </row>
    <row r="9" ht="45" customHeight="1" s="38">
      <c r="A9" s="5">
        <f>A8+1</f>
        <v/>
      </c>
      <c r="B9" s="39" t="inlineStr">
        <is>
          <t>grupo_usuario</t>
        </is>
      </c>
      <c r="C9" s="39" t="inlineStr">
        <is>
          <t>Membresía de usuarios en grupos (N:M), con estado de solicitud y rol dentro del grupo.</t>
        </is>
      </c>
      <c r="D9" s="39" t="inlineStr">
        <is>
          <t>Relación N:M. Absorbe usuario_solicita_grupo y usuario_administra_grupo (estado_membresia y rol_en_grupo).</t>
        </is>
      </c>
    </row>
    <row r="10" ht="45" customHeight="1" s="38">
      <c r="A10" s="5">
        <f>A9+1</f>
        <v/>
      </c>
      <c r="B10" s="39" t="inlineStr">
        <is>
          <t>usuario_sigue_usuario</t>
        </is>
      </c>
      <c r="C10" s="39" t="inlineStr">
        <is>
          <t>Relación recursiva de seguimiento entre usuarios (seguidor -&gt; seguido).</t>
        </is>
      </c>
      <c r="D10" s="39" t="inlineStr">
        <is>
          <t>Relación N:M recursiva. Nueva exigencia de la EA3: conectar y seguir compañeros.</t>
        </is>
      </c>
    </row>
    <row r="11" ht="45" customHeight="1" s="38">
      <c r="A11" s="5">
        <f>A10+1</f>
        <v/>
      </c>
      <c r="B11" s="39" t="inlineStr">
        <is>
          <t>publicacion</t>
        </is>
      </c>
      <c r="C11" s="39" t="inlineStr">
        <is>
          <t>Contenido que un usuario comparte en la Red, opcionalmente dentro de un grupo.</t>
        </is>
      </c>
      <c r="D11" s="39" t="inlineStr">
        <is>
          <t>Entidad. Absorbe usuario_realiza_publicacion (era la misma tabla duplicada).</t>
        </is>
      </c>
    </row>
    <row r="12" ht="45" customHeight="1" s="38">
      <c r="A12" s="5">
        <f>A11+1</f>
        <v/>
      </c>
      <c r="B12" s="39" t="inlineStr">
        <is>
          <t>comentario</t>
        </is>
      </c>
      <c r="C12" s="39" t="inlineStr">
        <is>
          <t>Respuesta que un usuario escribe sobre una publicación; el autor puede ser distinto al de la publicación.</t>
        </is>
      </c>
      <c r="D12" s="39" t="inlineStr">
        <is>
          <t>Entidad. Absorbe publicacion_tiene_comentario y usuario_comenta.</t>
        </is>
      </c>
    </row>
    <row r="13" ht="45" customHeight="1" s="38">
      <c r="A13" s="5">
        <f>A12+1</f>
        <v/>
      </c>
      <c r="B13" s="39" t="inlineStr">
        <is>
          <t>reaccion</t>
        </is>
      </c>
      <c r="C13" s="39" t="inlineStr">
        <is>
          <t>Reacción breve (me gusta, me encanta...) de un usuario a una publicación; una sola por usuario y publicación.</t>
        </is>
      </c>
      <c r="D13" s="39" t="inlineStr">
        <is>
          <t>Entidad débil. PK compuesta (id_publicacion, id_usuario). Absorbe publicacion_tiene_reaccion y usuario_reacciona.</t>
        </is>
      </c>
    </row>
    <row r="14" ht="45" customHeight="1" s="38">
      <c r="A14" s="5">
        <f>A13+1</f>
        <v/>
      </c>
      <c r="B14" s="39" t="inlineStr">
        <is>
          <t>mensaje</t>
        </is>
      </c>
      <c r="C14" s="39" t="inlineStr">
        <is>
          <t>Mensaje privado enviado por un usuario a otro dentro de la plataforma.</t>
        </is>
      </c>
      <c r="D14" s="39" t="inlineStr">
        <is>
          <t>Entidad. Absorbe usuario_envia_mensaje y usuario_recibe_mensaje.</t>
        </is>
      </c>
    </row>
    <row r="15" ht="45" customHeight="1" s="38">
      <c r="A15" s="5">
        <f>A14+1</f>
        <v/>
      </c>
      <c r="B15" s="39" t="inlineStr">
        <is>
          <t>notificacion</t>
        </is>
      </c>
      <c r="C15" s="39" t="inlineStr">
        <is>
          <t>Aviso generado por el sistema y dirigido a un usuario sobre la actividad que le concierne.</t>
        </is>
      </c>
      <c r="D15" s="39" t="inlineStr">
        <is>
          <t>Entidad. Absorbe usuario_recibe_notificacion.</t>
        </is>
      </c>
    </row>
    <row r="16" ht="45" customHeight="1" s="38">
      <c r="A16" s="5">
        <f>A15+1</f>
        <v/>
      </c>
      <c r="B16" s="39" t="inlineStr">
        <is>
          <t>tipo_servicio</t>
        </is>
      </c>
      <c r="C16" s="39" t="inlineStr">
        <is>
          <t>Catálogo de categorías de servicio definido por la administración (asesoría, tutoría, reparación de PC...).</t>
        </is>
      </c>
      <c r="D16" s="39" t="inlineStr">
        <is>
          <t>Entidad. Absorbe usuario_registra_tipo_servicio como FK id_usuario_registra.</t>
        </is>
      </c>
    </row>
    <row r="17" ht="45" customHeight="1" s="38">
      <c r="A17" s="5">
        <f>A16+1</f>
        <v/>
      </c>
      <c r="B17" s="39" t="inlineStr">
        <is>
          <t>servicio</t>
        </is>
      </c>
      <c r="C17" s="39" t="inlineStr">
        <is>
          <t>Servicio concreto que un usuario ofrece a la comunidad, con precio, duración y ubicación.</t>
        </is>
      </c>
      <c r="D17" s="39" t="inlineStr">
        <is>
          <t>Entidad. Absorbe usuario_ofrece_servicio y tipo_servicio_tiene_servicio como FK.</t>
        </is>
      </c>
    </row>
    <row r="18" ht="45" customHeight="1" s="38">
      <c r="A18" s="5">
        <f>A17+1</f>
        <v/>
      </c>
      <c r="B18" s="39" t="inlineStr">
        <is>
          <t>solicitud_servicio</t>
        </is>
      </c>
      <c r="C18" s="39" t="inlineStr">
        <is>
          <t>Traza de cada contratación de un servicio por parte de otro usuario, con estado y valor acordado.</t>
        </is>
      </c>
      <c r="D18" s="39" t="inlineStr">
        <is>
          <t>Relación N:M con atributos (entidad asociativa). Implementa la relación 'solicita' y la traza de ventas de servicios exigida por la EA3.</t>
        </is>
      </c>
    </row>
    <row r="19" ht="45" customHeight="1" s="38">
      <c r="A19" s="5">
        <f>A18+1</f>
        <v/>
      </c>
      <c r="B19" s="39" t="inlineStr">
        <is>
          <t>calificacion</t>
        </is>
      </c>
      <c r="C19" s="39" t="inlineStr">
        <is>
          <t>Valoración (1 a 5) y reseña que deja quien contrató un servicio, una por solicitud.</t>
        </is>
      </c>
      <c r="D19" s="39" t="inlineStr">
        <is>
          <t>Entidad débil. Se liga a la solicitud para que solo califique quien contrató. Absorbe servicio_recibe_calificacion y usuario_califica.</t>
        </is>
      </c>
    </row>
    <row r="20" ht="45" customHeight="1" s="38">
      <c r="A20" s="5">
        <f>A19+1</f>
        <v/>
      </c>
      <c r="B20" s="39" t="inlineStr">
        <is>
          <t>tipo_producto</t>
        </is>
      </c>
      <c r="C20" s="39" t="inlineStr">
        <is>
          <t>Catálogo de categorías de producto definido por la administración (papelería, libros, ropa, tickets...).</t>
        </is>
      </c>
      <c r="D20" s="39" t="inlineStr">
        <is>
          <t>Entidad. Absorbe usuario_registra_tipo_producto como FK id_usuario_registra.</t>
        </is>
      </c>
    </row>
    <row r="21" ht="45" customHeight="1" s="38">
      <c r="A21" s="5">
        <f>A20+1</f>
        <v/>
      </c>
      <c r="B21" s="39" t="inlineStr">
        <is>
          <t>producto</t>
        </is>
      </c>
      <c r="C21" s="39" t="inlineStr">
        <is>
          <t>Artículo que un usuario publica para la venta, con precio, existencias y condición.</t>
        </is>
      </c>
      <c r="D21" s="39" t="inlineStr">
        <is>
          <t>Entidad. Absorbe usuario_vende_producto y tipo_producto_tiene_producto como FK.</t>
        </is>
      </c>
    </row>
    <row r="22" ht="45" customHeight="1" s="38">
      <c r="A22" s="5">
        <f>A21+1</f>
        <v/>
      </c>
      <c r="B22" s="39" t="inlineStr">
        <is>
          <t>compra_producto</t>
        </is>
      </c>
      <c r="C22" s="39" t="inlineStr">
        <is>
          <t>Traza de cada venta de un producto: comprador, cantidad, precio unitario y total.</t>
        </is>
      </c>
      <c r="D22" s="39" t="inlineStr">
        <is>
          <t>Relación N:M con atributos (entidad asociativa). Implementa la relación 'compra' y la traza de ventas de productos exigida por la EA3.</t>
        </is>
      </c>
    </row>
    <row r="23" ht="45" customHeight="1" s="38">
      <c r="A23" s="5">
        <f>A22+1</f>
        <v/>
      </c>
      <c r="B23" s="39" t="inlineStr">
        <is>
          <t>tipo_evento</t>
        </is>
      </c>
      <c r="C23" s="39" t="inlineStr">
        <is>
          <t>Catálogo de categorías de evento definido por la administración (congreso, taller, feria, concierto...).</t>
        </is>
      </c>
      <c r="D23" s="39" t="inlineStr">
        <is>
          <t>Entidad. Absorbe usuario_registra_tipo_evento como FK id_usuario_registra.</t>
        </is>
      </c>
    </row>
    <row r="24" ht="45" customHeight="1" s="38">
      <c r="A24" s="5">
        <f>A23+1</f>
        <v/>
      </c>
      <c r="B24" s="39" t="inlineStr">
        <is>
          <t>evento</t>
        </is>
      </c>
      <c r="C24" s="39" t="inlineStr">
        <is>
          <t>Actividad académica o social organizada por un usuario, con fechas, lugar, cupo y valor de entrada.</t>
        </is>
      </c>
      <c r="D24" s="39" t="inlineStr">
        <is>
          <t>Entidad. Absorbe usuario_organiza_evento y tipo_evento_tiene_evento como FK.</t>
        </is>
      </c>
    </row>
    <row r="25" ht="45" customHeight="1" s="38">
      <c r="A25" s="5">
        <f>A24+1</f>
        <v/>
      </c>
      <c r="B25" s="39" t="inlineStr">
        <is>
          <t>participacion_evento</t>
        </is>
      </c>
      <c r="C25" s="39" t="inlineStr">
        <is>
          <t>Inscripción de usuarios a eventos: traza de pago, asistencia, me gusta y comentario posterior.</t>
        </is>
      </c>
      <c r="D25" s="39" t="inlineStr">
        <is>
          <t>Relación N:M con atributos. Implementa la relación 'participa' y la traza de ventas de eventos.</t>
        </is>
      </c>
    </row>
    <row r="26" ht="30" customHeight="1" s="38">
      <c r="A26" s="5" t="n"/>
      <c r="B26" s="7" t="n"/>
      <c r="C26" s="7" t="n"/>
      <c r="D26" s="7" t="n"/>
    </row>
    <row r="27" ht="30" customHeight="1" s="38">
      <c r="A27" s="5" t="n"/>
      <c r="B27" s="7" t="n"/>
      <c r="C27" s="7" t="n"/>
      <c r="D27" s="7" t="n"/>
    </row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32" customWidth="1" style="38" min="2" max="2"/>
    <col width="42" customWidth="1" style="38" min="3" max="3"/>
    <col width="70" customWidth="1" style="38" min="4" max="4"/>
  </cols>
  <sheetData>
    <row r="1">
      <c r="A1" s="2" t="inlineStr">
        <is>
          <t>Trazabilidad: destino de las 46 tablas del modelo lógico anterior (EA2) en el modelo corregido (EA3)</t>
        </is>
      </c>
    </row>
    <row r="2">
      <c r="A2" s="10" t="inlineStr">
        <is>
          <t># EA2</t>
        </is>
      </c>
      <c r="B2" s="10" t="inlineStr">
        <is>
          <t>Tabla EA2</t>
        </is>
      </c>
      <c r="C2" s="10" t="inlineStr">
        <is>
          <t>Destino en EA3</t>
        </is>
      </c>
      <c r="D2" s="10" t="inlineStr">
        <is>
          <t>Cómo / por qué</t>
        </is>
      </c>
    </row>
    <row r="3">
      <c r="A3" s="39" t="n">
        <v>1</v>
      </c>
      <c r="B3" s="39" t="inlineStr">
        <is>
          <t>usuario</t>
        </is>
      </c>
      <c r="C3" s="39" t="inlineStr">
        <is>
          <t>usuario</t>
        </is>
      </c>
      <c r="D3" s="39" t="inlineStr">
        <is>
          <t>Se conserva (entidad).</t>
        </is>
      </c>
    </row>
    <row r="4">
      <c r="A4" s="39" t="n">
        <v>2</v>
      </c>
      <c r="B4" s="39" t="inlineStr">
        <is>
          <t>rol</t>
        </is>
      </c>
      <c r="C4" s="39" t="inlineStr">
        <is>
          <t>rol</t>
        </is>
      </c>
      <c r="D4" s="39" t="inlineStr">
        <is>
          <t>Se conserva (catálogo).</t>
        </is>
      </c>
    </row>
    <row r="5">
      <c r="A5" s="39" t="n">
        <v>3</v>
      </c>
      <c r="B5" s="39" t="inlineStr">
        <is>
          <t>tipo_usuario</t>
        </is>
      </c>
      <c r="C5" s="39" t="inlineStr">
        <is>
          <t>tipo_usuario</t>
        </is>
      </c>
      <c r="D5" s="39" t="inlineStr">
        <is>
          <t>Se conserva; se quita id_usuario_registra (ciclo con usuario).</t>
        </is>
      </c>
    </row>
    <row r="6">
      <c r="A6" s="39" t="n">
        <v>4</v>
      </c>
      <c r="B6" s="39" t="inlineStr">
        <is>
          <t>cuenta</t>
        </is>
      </c>
      <c r="C6" s="39" t="inlineStr">
        <is>
          <t>cuenta</t>
        </is>
      </c>
      <c r="D6" s="39" t="inlineStr">
        <is>
          <t>Se conserva; PK = FK id_usuario.</t>
        </is>
      </c>
    </row>
    <row r="7">
      <c r="A7" s="39" t="n">
        <v>5</v>
      </c>
      <c r="B7" s="39" t="inlineStr">
        <is>
          <t>perfil</t>
        </is>
      </c>
      <c r="C7" s="39" t="inlineStr">
        <is>
          <t>perfil</t>
        </is>
      </c>
      <c r="D7" s="39" t="inlineStr">
        <is>
          <t>Se conserva; recupera los atributos de la EA1 (area_estudio, atributos_perfil JSONB).</t>
        </is>
      </c>
    </row>
    <row r="8">
      <c r="A8" s="39" t="n">
        <v>6</v>
      </c>
      <c r="B8" s="39" t="inlineStr">
        <is>
          <t>grupo</t>
        </is>
      </c>
      <c r="C8" s="39" t="inlineStr">
        <is>
          <t>grupo</t>
        </is>
      </c>
      <c r="D8" s="39" t="inlineStr">
        <is>
          <t>Se conserva.</t>
        </is>
      </c>
    </row>
    <row r="9">
      <c r="A9" s="39" t="n">
        <v>7</v>
      </c>
      <c r="B9" s="39" t="inlineStr">
        <is>
          <t>mensaje</t>
        </is>
      </c>
      <c r="C9" s="39" t="inlineStr">
        <is>
          <t>mensaje</t>
        </is>
      </c>
      <c r="D9" s="39" t="inlineStr">
        <is>
          <t>Se conserva; recibe las FK de remitente y destinatario.</t>
        </is>
      </c>
    </row>
    <row r="10">
      <c r="A10" s="39" t="n">
        <v>8</v>
      </c>
      <c r="B10" s="39" t="inlineStr">
        <is>
          <t>publicacion</t>
        </is>
      </c>
      <c r="C10" s="39" t="inlineStr">
        <is>
          <t>publicacion</t>
        </is>
      </c>
      <c r="D10" s="39" t="inlineStr">
        <is>
          <t>Se conserva.</t>
        </is>
      </c>
    </row>
    <row r="11">
      <c r="A11" s="39" t="n">
        <v>9</v>
      </c>
      <c r="B11" s="39" t="inlineStr">
        <is>
          <t>comentario</t>
        </is>
      </c>
      <c r="C11" s="39" t="inlineStr">
        <is>
          <t>comentario</t>
        </is>
      </c>
      <c r="D11" s="39" t="inlineStr">
        <is>
          <t>Se conserva.</t>
        </is>
      </c>
    </row>
    <row r="12">
      <c r="A12" s="39" t="n">
        <v>10</v>
      </c>
      <c r="B12" s="39" t="inlineStr">
        <is>
          <t>reaccion</t>
        </is>
      </c>
      <c r="C12" s="39" t="inlineStr">
        <is>
          <t>reaccion</t>
        </is>
      </c>
      <c r="D12" s="39" t="inlineStr">
        <is>
          <t>Se conserva; PK compuesta (id_publicacion, id_usuario).</t>
        </is>
      </c>
    </row>
    <row r="13">
      <c r="A13" s="39" t="n">
        <v>11</v>
      </c>
      <c r="B13" s="39" t="inlineStr">
        <is>
          <t>notificacion</t>
        </is>
      </c>
      <c r="C13" s="39" t="inlineStr">
        <is>
          <t>notificacion</t>
        </is>
      </c>
      <c r="D13" s="39" t="inlineStr">
        <is>
          <t>Se conserva.</t>
        </is>
      </c>
    </row>
    <row r="14">
      <c r="A14" s="39" t="n">
        <v>12</v>
      </c>
      <c r="B14" s="39" t="inlineStr">
        <is>
          <t>tipo_servicio</t>
        </is>
      </c>
      <c r="C14" s="39" t="inlineStr">
        <is>
          <t>tipo_servicio</t>
        </is>
      </c>
      <c r="D14" s="39" t="inlineStr">
        <is>
          <t>Se conserva.</t>
        </is>
      </c>
    </row>
    <row r="15">
      <c r="A15" s="39" t="n">
        <v>13</v>
      </c>
      <c r="B15" s="39" t="inlineStr">
        <is>
          <t>servicio</t>
        </is>
      </c>
      <c r="C15" s="39" t="inlineStr">
        <is>
          <t>servicio</t>
        </is>
      </c>
      <c r="D15" s="39" t="inlineStr">
        <is>
          <t>Se conserva.</t>
        </is>
      </c>
    </row>
    <row r="16">
      <c r="A16" s="39" t="n">
        <v>14</v>
      </c>
      <c r="B16" s="39" t="inlineStr">
        <is>
          <t>calificacion</t>
        </is>
      </c>
      <c r="C16" s="39" t="inlineStr">
        <is>
          <t>calificacion</t>
        </is>
      </c>
      <c r="D16" s="39" t="inlineStr">
        <is>
          <t>Se conserva; ahora depende de solicitud_servicio.</t>
        </is>
      </c>
    </row>
    <row r="17">
      <c r="A17" s="39" t="n">
        <v>15</v>
      </c>
      <c r="B17" s="39" t="inlineStr">
        <is>
          <t>tipo_producto</t>
        </is>
      </c>
      <c r="C17" s="39" t="inlineStr">
        <is>
          <t>tipo_producto</t>
        </is>
      </c>
      <c r="D17" s="39" t="inlineStr">
        <is>
          <t>Se conserva.</t>
        </is>
      </c>
    </row>
    <row r="18">
      <c r="A18" s="39" t="n">
        <v>16</v>
      </c>
      <c r="B18" s="39" t="inlineStr">
        <is>
          <t>producto</t>
        </is>
      </c>
      <c r="C18" s="39" t="inlineStr">
        <is>
          <t>producto</t>
        </is>
      </c>
      <c r="D18" s="39" t="inlineStr">
        <is>
          <t>Se conserva.</t>
        </is>
      </c>
    </row>
    <row r="19">
      <c r="A19" s="39" t="n">
        <v>17</v>
      </c>
      <c r="B19" s="39" t="inlineStr">
        <is>
          <t>tipo_evento</t>
        </is>
      </c>
      <c r="C19" s="39" t="inlineStr">
        <is>
          <t>tipo_evento</t>
        </is>
      </c>
      <c r="D19" s="39" t="inlineStr">
        <is>
          <t>Se conserva.</t>
        </is>
      </c>
    </row>
    <row r="20">
      <c r="A20" s="39" t="n">
        <v>18</v>
      </c>
      <c r="B20" s="39" t="inlineStr">
        <is>
          <t>evento</t>
        </is>
      </c>
      <c r="C20" s="39" t="inlineStr">
        <is>
          <t>evento</t>
        </is>
      </c>
      <c r="D20" s="39" t="inlineStr">
        <is>
          <t>Se conserva.</t>
        </is>
      </c>
    </row>
    <row r="21">
      <c r="A21" s="39" t="n">
        <v>19</v>
      </c>
      <c r="B21" s="39" t="inlineStr">
        <is>
          <t>grupo_usuario</t>
        </is>
      </c>
      <c r="C21" s="39" t="inlineStr">
        <is>
          <t>grupo_usuario</t>
        </is>
      </c>
      <c r="D21" s="39" t="inlineStr">
        <is>
          <t>Se conserva (N:M).</t>
        </is>
      </c>
    </row>
    <row r="22">
      <c r="A22" s="39" t="n">
        <v>20</v>
      </c>
      <c r="B22" s="39" t="inlineStr">
        <is>
          <t>usuario_solicita_grupo</t>
        </is>
      </c>
      <c r="C22" s="39" t="inlineStr">
        <is>
          <t>grupo_usuario</t>
        </is>
      </c>
      <c r="D22" s="39" t="inlineStr">
        <is>
          <t>Integrada: estado_membresia = pendiente.</t>
        </is>
      </c>
    </row>
    <row r="23">
      <c r="A23" s="39" t="n">
        <v>21</v>
      </c>
      <c r="B23" s="39" t="inlineStr">
        <is>
          <t>usuario_administra_grupo</t>
        </is>
      </c>
      <c r="C23" s="39" t="inlineStr">
        <is>
          <t>grupo_usuario</t>
        </is>
      </c>
      <c r="D23" s="39" t="inlineStr">
        <is>
          <t>Integrada: rol_en_grupo = administrador.</t>
        </is>
      </c>
    </row>
    <row r="24">
      <c r="A24" s="39" t="n">
        <v>22</v>
      </c>
      <c r="B24" s="39" t="inlineStr">
        <is>
          <t>usuario_sigue_usuario</t>
        </is>
      </c>
      <c r="C24" s="39" t="inlineStr">
        <is>
          <t>usuario_sigue_usuario</t>
        </is>
      </c>
      <c r="D24" s="39" t="inlineStr">
        <is>
          <t>Se conserva (N:M recursiva).</t>
        </is>
      </c>
    </row>
    <row r="25">
      <c r="A25" s="39" t="n">
        <v>23</v>
      </c>
      <c r="B25" s="39" t="inlineStr">
        <is>
          <t>usuario_tiene_cuenta</t>
        </is>
      </c>
      <c r="C25" s="39" t="inlineStr">
        <is>
          <t>cuenta.id_usuario</t>
        </is>
      </c>
      <c r="D25" s="39" t="inlineStr">
        <is>
          <t>1:1 → FK. Además referenciaba cuenta.id_cuenta, columna que no existe (error en PostgreSQL).</t>
        </is>
      </c>
    </row>
    <row r="26">
      <c r="A26" s="39" t="n">
        <v>24</v>
      </c>
      <c r="B26" s="39" t="inlineStr">
        <is>
          <t>cuenta_tiene_perfil</t>
        </is>
      </c>
      <c r="C26" s="39" t="inlineStr">
        <is>
          <t>perfil.id_usuario</t>
        </is>
      </c>
      <c r="D26" s="39" t="inlineStr">
        <is>
          <t>1:1 → FK. También usaba id_cuenta inexistente.</t>
        </is>
      </c>
    </row>
    <row r="27">
      <c r="A27" s="39" t="n">
        <v>25</v>
      </c>
      <c r="B27" s="39" t="inlineStr">
        <is>
          <t>grupo_define_perfil</t>
        </is>
      </c>
      <c r="C27" s="39" t="inlineStr">
        <is>
          <t>perfil.id_grupo</t>
        </is>
      </c>
      <c r="D27" s="39" t="inlineStr">
        <is>
          <t>1:1 → FK.</t>
        </is>
      </c>
    </row>
    <row r="28">
      <c r="A28" s="39" t="n">
        <v>26</v>
      </c>
      <c r="B28" s="39" t="inlineStr">
        <is>
          <t>usuario_tiene_rol</t>
        </is>
      </c>
      <c r="C28" s="39" t="inlineStr">
        <is>
          <t>usuario.id_rol</t>
        </is>
      </c>
      <c r="D28" s="39" t="inlineStr">
        <is>
          <t>N:1 → FK; usuario ya tenía id_rol (dato duplicado).</t>
        </is>
      </c>
    </row>
    <row r="29">
      <c r="A29" s="39" t="n">
        <v>27</v>
      </c>
      <c r="B29" s="39" t="inlineStr">
        <is>
          <t>usuario_tiene_tipo</t>
        </is>
      </c>
      <c r="C29" s="39" t="inlineStr">
        <is>
          <t>usuario.id_tipo_usuario</t>
        </is>
      </c>
      <c r="D29" s="39" t="inlineStr">
        <is>
          <t>N:1 → FK; usuario ya tenía id_tipo_usuario (dato duplicado).</t>
        </is>
      </c>
    </row>
    <row r="30">
      <c r="A30" s="39" t="n">
        <v>28</v>
      </c>
      <c r="B30" s="39" t="inlineStr">
        <is>
          <t>usuario_envia_mensaje</t>
        </is>
      </c>
      <c r="C30" s="39" t="inlineStr">
        <is>
          <t>mensaje.id_usuario_remitente</t>
        </is>
      </c>
      <c r="D30" s="39" t="inlineStr">
        <is>
          <t>1:N → FK; repetía asunto, contenido y fecha de mensaje.</t>
        </is>
      </c>
    </row>
    <row r="31">
      <c r="A31" s="39" t="n">
        <v>29</v>
      </c>
      <c r="B31" s="39" t="inlineStr">
        <is>
          <t>usuario_recibe_mensaje</t>
        </is>
      </c>
      <c r="C31" s="39" t="inlineStr">
        <is>
          <t>mensaje.id_usuario_destinatario</t>
        </is>
      </c>
      <c r="D31" s="39" t="inlineStr">
        <is>
          <t>1:N → FK; estado de lectura = mensaje.fue_leido.</t>
        </is>
      </c>
    </row>
    <row r="32">
      <c r="A32" s="39" t="n">
        <v>30</v>
      </c>
      <c r="B32" s="39" t="inlineStr">
        <is>
          <t>usuario_realiza_publicacion</t>
        </is>
      </c>
      <c r="C32" s="39" t="inlineStr">
        <is>
          <t>publicacion.id_usuario</t>
        </is>
      </c>
      <c r="D32" s="39" t="inlineStr">
        <is>
          <t>1:N → FK; repetía texto, multimedia, fecha y estado.</t>
        </is>
      </c>
    </row>
    <row r="33">
      <c r="A33" s="39" t="n">
        <v>31</v>
      </c>
      <c r="B33" s="39" t="inlineStr">
        <is>
          <t>publicacion_tiene_comentario</t>
        </is>
      </c>
      <c r="C33" s="39" t="inlineStr">
        <is>
          <t>comentario.id_publicacion</t>
        </is>
      </c>
      <c r="D33" s="39" t="inlineStr">
        <is>
          <t>1:N → FK.</t>
        </is>
      </c>
    </row>
    <row r="34">
      <c r="A34" s="39" t="n">
        <v>32</v>
      </c>
      <c r="B34" s="39" t="inlineStr">
        <is>
          <t>usuario_comenta</t>
        </is>
      </c>
      <c r="C34" s="39" t="inlineStr">
        <is>
          <t>comentario.id_usuario</t>
        </is>
      </c>
      <c r="D34" s="39" t="inlineStr">
        <is>
          <t>1:N → FK; repetía texto, fecha y estado.</t>
        </is>
      </c>
    </row>
    <row r="35">
      <c r="A35" s="39" t="n">
        <v>33</v>
      </c>
      <c r="B35" s="39" t="inlineStr">
        <is>
          <t>publicacion_tiene_reaccion</t>
        </is>
      </c>
      <c r="C35" s="39" t="inlineStr">
        <is>
          <t>reaccion.id_publicacion</t>
        </is>
      </c>
      <c r="D35" s="39" t="inlineStr">
        <is>
          <t>1:N → FK (parte de la PK).</t>
        </is>
      </c>
    </row>
    <row r="36">
      <c r="A36" s="39" t="n">
        <v>34</v>
      </c>
      <c r="B36" s="39" t="inlineStr">
        <is>
          <t>usuario_reacciona</t>
        </is>
      </c>
      <c r="C36" s="39" t="inlineStr">
        <is>
          <t>reaccion.id_usuario</t>
        </is>
      </c>
      <c r="D36" s="39" t="inlineStr">
        <is>
          <t>1:N → FK (parte de la PK); repetía tipo y fecha.</t>
        </is>
      </c>
    </row>
    <row r="37">
      <c r="A37" s="39" t="n">
        <v>35</v>
      </c>
      <c r="B37" s="39" t="inlineStr">
        <is>
          <t>usuario_recibe_notificacion</t>
        </is>
      </c>
      <c r="C37" s="39" t="inlineStr">
        <is>
          <t>notificacion.id_usuario</t>
        </is>
      </c>
      <c r="D37" s="39" t="inlineStr">
        <is>
          <t>1:N → FK; repetía título, mensaje y fecha.</t>
        </is>
      </c>
    </row>
    <row r="38">
      <c r="A38" s="39" t="n">
        <v>36</v>
      </c>
      <c r="B38" s="39" t="inlineStr">
        <is>
          <t>usuario_registra_tipo_servicio</t>
        </is>
      </c>
      <c r="C38" s="39" t="inlineStr">
        <is>
          <t>tipo_servicio.id_usuario_registra</t>
        </is>
      </c>
      <c r="D38" s="39" t="inlineStr">
        <is>
          <t>1:N → FK.</t>
        </is>
      </c>
    </row>
    <row r="39">
      <c r="A39" s="39" t="n">
        <v>37</v>
      </c>
      <c r="B39" s="39" t="inlineStr">
        <is>
          <t>usuario_registra_tipo_producto</t>
        </is>
      </c>
      <c r="C39" s="39" t="inlineStr">
        <is>
          <t>tipo_producto.id_usuario_registra</t>
        </is>
      </c>
      <c r="D39" s="39" t="inlineStr">
        <is>
          <t>1:N → FK.</t>
        </is>
      </c>
    </row>
    <row r="40">
      <c r="A40" s="39" t="n">
        <v>38</v>
      </c>
      <c r="B40" s="39" t="inlineStr">
        <is>
          <t>usuario_registra_tipo_evento</t>
        </is>
      </c>
      <c r="C40" s="39" t="inlineStr">
        <is>
          <t>tipo_evento.id_usuario_registra</t>
        </is>
      </c>
      <c r="D40" s="39" t="inlineStr">
        <is>
          <t>1:N → FK.</t>
        </is>
      </c>
    </row>
    <row r="41">
      <c r="A41" s="39" t="n">
        <v>39</v>
      </c>
      <c r="B41" s="39" t="inlineStr">
        <is>
          <t>tipo_servicio_tiene_servicio</t>
        </is>
      </c>
      <c r="C41" s="39" t="inlineStr">
        <is>
          <t>servicio.id_tipo_servicio</t>
        </is>
      </c>
      <c r="D41" s="39" t="inlineStr">
        <is>
          <t>1:N → FK.</t>
        </is>
      </c>
    </row>
    <row r="42">
      <c r="A42" s="39" t="n">
        <v>40</v>
      </c>
      <c r="B42" s="39" t="inlineStr">
        <is>
          <t>usuario_ofrece_servicio</t>
        </is>
      </c>
      <c r="C42" s="39" t="inlineStr">
        <is>
          <t>servicio.id_usuario</t>
        </is>
      </c>
      <c r="D42" s="39" t="inlineStr">
        <is>
          <t>1:N → FK; repetía nombre, descripción y tarifa.</t>
        </is>
      </c>
    </row>
    <row r="43">
      <c r="A43" s="39" t="n">
        <v>41</v>
      </c>
      <c r="B43" s="39" t="inlineStr">
        <is>
          <t>servicio_recibe_calificacion</t>
        </is>
      </c>
      <c r="C43" s="39" t="inlineStr">
        <is>
          <t>calificacion → solicitud_servicio.id_servicio</t>
        </is>
      </c>
      <c r="D43" s="39" t="inlineStr">
        <is>
          <t>1:N → FK a través de la solicitud.</t>
        </is>
      </c>
    </row>
    <row r="44">
      <c r="A44" s="39" t="n">
        <v>42</v>
      </c>
      <c r="B44" s="39" t="inlineStr">
        <is>
          <t>usuario_califica</t>
        </is>
      </c>
      <c r="C44" s="39" t="inlineStr">
        <is>
          <t>calificacion → solicitud_servicio.id_usuario_solicitante</t>
        </is>
      </c>
      <c r="D44" s="39" t="inlineStr">
        <is>
          <t>Quien califica es quien contrató; repetía puntaje y reseña.</t>
        </is>
      </c>
    </row>
    <row r="45">
      <c r="A45" s="39" t="n">
        <v>43</v>
      </c>
      <c r="B45" s="39" t="inlineStr">
        <is>
          <t>tipo_producto_tiene_producto</t>
        </is>
      </c>
      <c r="C45" s="39" t="inlineStr">
        <is>
          <t>producto.id_tipo_producto</t>
        </is>
      </c>
      <c r="D45" s="39" t="inlineStr">
        <is>
          <t>1:N → FK.</t>
        </is>
      </c>
    </row>
    <row r="46">
      <c r="A46" s="39" t="n">
        <v>44</v>
      </c>
      <c r="B46" s="39" t="inlineStr">
        <is>
          <t>usuario_vende_producto</t>
        </is>
      </c>
      <c r="C46" s="39" t="inlineStr">
        <is>
          <t>producto.id_usuario</t>
        </is>
      </c>
      <c r="D46" s="39" t="inlineStr">
        <is>
          <t>1:N → FK; repetía nombre, precio y stock.</t>
        </is>
      </c>
    </row>
    <row r="47">
      <c r="A47" s="39" t="n">
        <v>45</v>
      </c>
      <c r="B47" s="39" t="inlineStr">
        <is>
          <t>tipo_evento_tiene_evento</t>
        </is>
      </c>
      <c r="C47" s="39" t="inlineStr">
        <is>
          <t>evento.id_tipo_evento</t>
        </is>
      </c>
      <c r="D47" s="39" t="inlineStr">
        <is>
          <t>1:N → FK.</t>
        </is>
      </c>
    </row>
    <row r="48">
      <c r="A48" s="39" t="n">
        <v>46</v>
      </c>
      <c r="B48" s="39" t="inlineStr">
        <is>
          <t>usuario_organiza_evento</t>
        </is>
      </c>
      <c r="C48" s="39" t="inlineStr">
        <is>
          <t>evento.id_usuario_organizador</t>
        </is>
      </c>
      <c r="D48" s="39" t="inlineStr">
        <is>
          <t>1:N → FK; repetía título, fecha y lugar.</t>
        </is>
      </c>
    </row>
    <row r="50">
      <c r="A50" s="40" t="inlineStr">
        <is>
          <t>Tablas recuperadas del modelo conceptual (EA1) que la EA2 había omitido</t>
        </is>
      </c>
    </row>
    <row r="51">
      <c r="A51" s="39" t="inlineStr">
        <is>
          <t>nueva</t>
        </is>
      </c>
      <c r="B51" s="39" t="inlineStr">
        <is>
          <t>—</t>
        </is>
      </c>
      <c r="C51" s="39" t="inlineStr">
        <is>
          <t>solicitud_servicio</t>
        </is>
      </c>
      <c r="D51" s="39" t="inlineStr">
        <is>
          <t>Relación N:M "solicita" del modelo conceptual (EA1) que la EA2 había omitido. Traza de servicios (EA3).</t>
        </is>
      </c>
    </row>
    <row r="52">
      <c r="A52" s="39" t="inlineStr">
        <is>
          <t>nueva</t>
        </is>
      </c>
      <c r="B52" s="39" t="inlineStr">
        <is>
          <t>—</t>
        </is>
      </c>
      <c r="C52" s="39" t="inlineStr">
        <is>
          <t>compra_producto</t>
        </is>
      </c>
      <c r="D52" s="39" t="inlineStr">
        <is>
          <t>Relación N:M "compra" del modelo conceptual (EA1) que la EA2 había omitido. Traza de ventas (EA3).</t>
        </is>
      </c>
    </row>
    <row r="53">
      <c r="A53" s="39" t="inlineStr">
        <is>
          <t>nueva</t>
        </is>
      </c>
      <c r="B53" s="39" t="inlineStr">
        <is>
          <t>—</t>
        </is>
      </c>
      <c r="C53" s="39" t="inlineStr">
        <is>
          <t>participacion_evento</t>
        </is>
      </c>
      <c r="D53" s="39" t="inlineStr">
        <is>
          <t>Relación N:M "participa" del modelo conceptual (EA1) que la EA2 había omitido. Traza de eventos (EA3).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8"/>
  <sheetViews>
    <sheetView workbookViewId="0">
      <selection activeCell="A1" sqref="A1"/>
    </sheetView>
  </sheetViews>
  <sheetFormatPr baseColWidth="8" defaultColWidth="12.63" defaultRowHeight="15" customHeight="1"/>
  <cols>
    <col width="7" customWidth="1" style="38" min="1" max="1"/>
    <col width="29.5" customWidth="1" style="38" min="2" max="2"/>
    <col width="38" customWidth="1" style="38" min="3" max="3"/>
    <col width="34" customWidth="1" style="38" min="4" max="4"/>
    <col width="11.25" customWidth="1" style="38" min="5" max="5"/>
    <col width="60" customWidth="1" style="38" min="6" max="6"/>
  </cols>
  <sheetData>
    <row r="1" ht="28.5" customHeight="1" s="38">
      <c r="A1" s="14" t="inlineStr">
        <is>
          <t>Tipos de Datos - Tabla Comparativa</t>
        </is>
      </c>
      <c r="G1" s="3" t="n"/>
      <c r="H1" s="3" t="n"/>
      <c r="I1" s="3" t="n"/>
      <c r="J1" s="3" t="n"/>
    </row>
    <row r="2" ht="36" customHeight="1" s="38">
      <c r="A2" s="10" t="inlineStr">
        <is>
          <t>#</t>
        </is>
      </c>
      <c r="B2" s="9" t="inlineStr">
        <is>
          <t>Tipo de Dato Genérico</t>
        </is>
      </c>
      <c r="C2" s="10" t="inlineStr">
        <is>
          <t>Tipos de Dato - PosgreSQL</t>
        </is>
      </c>
      <c r="D2" s="10" t="inlineStr">
        <is>
          <t>Dominio</t>
        </is>
      </c>
      <c r="E2" s="10" t="inlineStr">
        <is>
          <t>Tamaño
BYTES</t>
        </is>
      </c>
      <c r="F2" s="10" t="inlineStr">
        <is>
          <t>Observaciones</t>
        </is>
      </c>
    </row>
    <row r="3" ht="48" customHeight="1" s="38">
      <c r="A3" s="5" t="n">
        <v>1</v>
      </c>
      <c r="B3" s="11" t="inlineStr">
        <is>
          <t>AUTOINCREMENTABLE</t>
        </is>
      </c>
      <c r="C3" s="39" t="inlineStr">
        <is>
          <t>SMALLINT / INTEGER / BIGINT GENERATED ALWAYS AS IDENTITY</t>
        </is>
      </c>
      <c r="D3" s="41" t="inlineStr">
        <is>
          <t>Enteros 1 .. 32.767 / 2.147.483.647 / 9,2x10^18</t>
        </is>
      </c>
      <c r="E3" s="41" t="inlineStr">
        <is>
          <t>2 / 4 / 8</t>
        </is>
      </c>
      <c r="F3" s="41" t="inlineStr">
        <is>
          <t>Estándar SQL. Reemplaza SERIAL. Usado en todas las PK sustitutas (id_usuario INTEGER, id_publicacion BIGINT).</t>
        </is>
      </c>
    </row>
    <row r="4" ht="48" customHeight="1" s="38">
      <c r="A4" s="5">
        <f>A3+1</f>
        <v/>
      </c>
      <c r="B4" s="11" t="inlineStr">
        <is>
          <t>UUID</t>
        </is>
      </c>
      <c r="C4" s="39" t="inlineStr">
        <is>
          <t>UUID</t>
        </is>
      </c>
      <c r="D4" s="41" t="inlineStr">
        <is>
          <t>128 bits, ej. a0eebc99-9c0b-4ef8-bb6d-6bb9bd380a11</t>
        </is>
      </c>
      <c r="E4" s="41" t="inlineStr">
        <is>
          <t>16</t>
        </is>
      </c>
      <c r="F4" s="41" t="inlineStr">
        <is>
          <t>Disponible con gen_random_uuid(). No se usa en el modelo: las PK enteras (4 bytes) son suficientes y ocupan menos espacio.</t>
        </is>
      </c>
    </row>
    <row r="5" ht="48" customHeight="1" s="38">
      <c r="A5" s="5">
        <f>A4+1</f>
        <v/>
      </c>
      <c r="B5" s="11" t="inlineStr">
        <is>
          <t>ENTERO</t>
        </is>
      </c>
      <c r="C5" s="39" t="inlineStr">
        <is>
          <t>SMALLINT / INTEGER / BIGINT</t>
        </is>
      </c>
      <c r="D5" s="41" t="inlineStr">
        <is>
          <t>-32.768..32.767 / ±2.147 millones / ±9,2x10^18</t>
        </is>
      </c>
      <c r="E5" s="41" t="inlineStr">
        <is>
          <t>2 / 4 / 8</t>
        </is>
      </c>
      <c r="F5" s="41" t="inlineStr">
        <is>
          <t>SMALLINT para catálogos y puntuación; INTEGER para cantidades y cupos; BIGINT para tablas de alto volumen.</t>
        </is>
      </c>
    </row>
    <row r="6" ht="48" customHeight="1" s="38">
      <c r="A6" s="5">
        <f>A5+1</f>
        <v/>
      </c>
      <c r="B6" s="11" t="inlineStr">
        <is>
          <t>DECIMAL</t>
        </is>
      </c>
      <c r="C6" s="39" t="inlineStr">
        <is>
          <t>NUMERIC(p,s)</t>
        </is>
      </c>
      <c r="D6" s="41" t="inlineStr">
        <is>
          <t>Hasta 131.072 dígitos antes del punto; exacto</t>
        </is>
      </c>
      <c r="E6" s="41" t="inlineStr">
        <is>
          <t>Variable (≈ 2 por cada 4 dígitos + 3-8)</t>
        </is>
      </c>
      <c r="F6" s="41" t="inlineStr">
        <is>
          <t>NUMERIC(12,2) para precios y valores en pesos: exacto, sin errores de redondeo de REAL/DOUBLE.</t>
        </is>
      </c>
    </row>
    <row r="7" ht="48" customHeight="1" s="38">
      <c r="A7" s="5">
        <f>A6+1</f>
        <v/>
      </c>
      <c r="B7" s="11" t="inlineStr">
        <is>
          <t>LÓGICO</t>
        </is>
      </c>
      <c r="C7" s="39" t="inlineStr">
        <is>
          <t>BOOLEAN</t>
        </is>
      </c>
      <c r="D7" s="41" t="inlineStr">
        <is>
          <t>TRUE / FALSE / NULL</t>
        </is>
      </c>
      <c r="E7" s="41" t="inlineStr">
        <is>
          <t>1</t>
        </is>
      </c>
      <c r="F7" s="41" t="inlineStr">
        <is>
          <t>Todo atributo de dos valores: es_privado, fue_leido, asistio, es_nuevo, estado_rol.</t>
        </is>
      </c>
    </row>
    <row r="8" ht="48" customHeight="1" s="38">
      <c r="A8" s="5">
        <f>A7+1</f>
        <v/>
      </c>
      <c r="B8" s="11" t="inlineStr">
        <is>
          <t>TEXTO</t>
        </is>
      </c>
      <c r="C8" s="39" t="inlineStr">
        <is>
          <t>TEXT / VARCHAR(n)</t>
        </is>
      </c>
      <c r="D8" s="41" t="inlineStr">
        <is>
          <t>Cadena de longitud variable (hasta 1 GB)</t>
        </is>
      </c>
      <c r="E8" s="41" t="inlineStr">
        <is>
          <t>Variable (n + 1 a 4)</t>
        </is>
      </c>
      <c r="F8" s="41" t="inlineStr">
        <is>
          <t>TEXT para contenido largo sin tope (publicaciones, mensajes); VARCHAR(n) cuando el negocio fija un máximo.</t>
        </is>
      </c>
    </row>
    <row r="9" ht="48" customHeight="1" s="38">
      <c r="A9" s="5">
        <f>A8+1</f>
        <v/>
      </c>
      <c r="B9" s="11" t="inlineStr">
        <is>
          <t>CARACTER</t>
        </is>
      </c>
      <c r="C9" s="39" t="inlineStr">
        <is>
          <t>CHAR(n) / VARCHAR(n)</t>
        </is>
      </c>
      <c r="D9" s="41" t="inlineStr">
        <is>
          <t>Cadena de longitud fija (CHAR) o limitada (VARCHAR)</t>
        </is>
      </c>
      <c r="E9" s="41" t="inlineStr">
        <is>
          <t>n + 1</t>
        </is>
      </c>
      <c r="F9" s="41" t="inlineStr">
        <is>
          <t>Se prefiere VARCHAR(n) para códigos y estados cortos: CHAR rellena con espacios.</t>
        </is>
      </c>
    </row>
    <row r="10" ht="48" customHeight="1" s="38">
      <c r="A10" s="5">
        <f>A9+1</f>
        <v/>
      </c>
      <c r="B10" s="11" t="inlineStr">
        <is>
          <t>FECHA</t>
        </is>
      </c>
      <c r="C10" s="39" t="inlineStr">
        <is>
          <t>DATE</t>
        </is>
      </c>
      <c r="D10" s="41" t="inlineStr">
        <is>
          <t>4713 a.C. .. 5874897 d.C., resolución 1 día</t>
        </is>
      </c>
      <c r="E10" s="41" t="inlineStr">
        <is>
          <t>4</t>
        </is>
      </c>
      <c r="F10" s="41" t="inlineStr">
        <is>
          <t>fecha_nacimiento, fecha_creacion del grupo.</t>
        </is>
      </c>
    </row>
    <row r="11" ht="48" customHeight="1" s="38">
      <c r="A11" s="5">
        <f>A10+1</f>
        <v/>
      </c>
      <c r="B11" s="11" t="inlineStr">
        <is>
          <t>FECHA_HORA</t>
        </is>
      </c>
      <c r="C11" s="39" t="inlineStr">
        <is>
          <t>TIMESTAMP</t>
        </is>
      </c>
      <c r="D11" s="41" t="inlineStr">
        <is>
          <t>4713 a.C. .. 294276 d.C., resolución 1 µs</t>
        </is>
      </c>
      <c r="E11" s="41" t="inlineStr">
        <is>
          <t>8</t>
        </is>
      </c>
      <c r="F11" s="41" t="inlineStr">
        <is>
          <t>Trazabilidad: fecha_publicacion, fecha_compra, fecha_envio. DEFAULT CURRENT_TIMESTAMP.</t>
        </is>
      </c>
    </row>
    <row r="12" ht="48" customHeight="1" s="38">
      <c r="A12" s="5">
        <f>A11+1</f>
        <v/>
      </c>
      <c r="B12" s="11" t="inlineStr">
        <is>
          <t>IMAGEN</t>
        </is>
      </c>
      <c r="C12" s="39" t="inlineStr">
        <is>
          <t>VARCHAR(255) (URL) / BYTEA</t>
        </is>
      </c>
      <c r="D12" s="41" t="inlineStr">
        <is>
          <t>Ruta o enlace a la imagen / binario</t>
        </is>
      </c>
      <c r="E12" s="41" t="inlineStr">
        <is>
          <t>Variable</t>
        </is>
      </c>
      <c r="F12" s="41" t="inlineStr">
        <is>
          <t>Se guarda la URL (url_fotografia, url_multimedia) y el archivo en almacenamiento externo; BYTEA engorda la BD.</t>
        </is>
      </c>
    </row>
    <row r="13" ht="48" customHeight="1" s="38">
      <c r="A13" s="5">
        <f>A12+1</f>
        <v/>
      </c>
      <c r="B13" s="11" t="inlineStr">
        <is>
          <t>AUDIO</t>
        </is>
      </c>
      <c r="C13" s="39" t="inlineStr">
        <is>
          <t>VARCHAR(255) (URL) / BYTEA</t>
        </is>
      </c>
      <c r="D13" s="41" t="inlineStr">
        <is>
          <t>Ruta o enlace al audio / binario</t>
        </is>
      </c>
      <c r="E13" s="41" t="inlineStr">
        <is>
          <t>Variable</t>
        </is>
      </c>
      <c r="F13" s="41" t="inlineStr">
        <is>
          <t>Mismo criterio que IMAGEN (no usado en el modelo actual).</t>
        </is>
      </c>
    </row>
    <row r="14" ht="48" customHeight="1" s="38">
      <c r="A14" s="5">
        <f>A13+1</f>
        <v/>
      </c>
      <c r="B14" s="11" t="inlineStr">
        <is>
          <t>URL</t>
        </is>
      </c>
      <c r="C14" s="39" t="inlineStr">
        <is>
          <t>VARCHAR(255)</t>
        </is>
      </c>
      <c r="D14" s="41" t="inlineStr">
        <is>
          <t>Cadena hasta 255 caracteres</t>
        </is>
      </c>
      <c r="E14" s="41" t="inlineStr">
        <is>
          <t>Hasta 256</t>
        </is>
      </c>
      <c r="F14" s="41" t="inlineStr">
        <is>
          <t>url_multimedia, url_fotografia.</t>
        </is>
      </c>
    </row>
    <row r="15" ht="48" customHeight="1" s="38">
      <c r="A15" s="5">
        <f>A14+1</f>
        <v/>
      </c>
      <c r="B15" s="11" t="inlineStr">
        <is>
          <t>ENUM</t>
        </is>
      </c>
      <c r="C15" s="39" t="inlineStr">
        <is>
          <t>VARCHAR(n) + CHECK (campo IN (...))</t>
        </is>
      </c>
      <c r="D15" s="41" t="inlineStr">
        <is>
          <t>Conjunto cerrado de valores</t>
        </is>
      </c>
      <c r="E15" s="41" t="inlineStr">
        <is>
          <t>Variable</t>
        </is>
      </c>
      <c r="F15" s="41" t="inlineStr">
        <is>
          <t>Se usa CHECK en lugar de CREATE TYPE ... AS ENUM porque agregar valores es más simple con ALTER TABLE.</t>
        </is>
      </c>
    </row>
    <row r="16" ht="48" customHeight="1" s="38">
      <c r="A16" s="5">
        <f>A15+1</f>
        <v/>
      </c>
      <c r="B16" s="11" t="inlineStr">
        <is>
          <t>TEXTO_CORTO (opcional)</t>
        </is>
      </c>
      <c r="C16" s="39" t="inlineStr">
        <is>
          <t>VARCHAR(n)</t>
        </is>
      </c>
      <c r="D16" s="41" t="inlineStr">
        <is>
          <t>Cadena de hasta n caracteres</t>
        </is>
      </c>
      <c r="E16" s="41" t="inlineStr">
        <is>
          <t>n + 1</t>
        </is>
      </c>
      <c r="F16" s="41" t="inlineStr">
        <is>
          <t>Nombres, títulos y asuntos: nombre_grupo VARCHAR(80), asunto_mensaje VARCHAR(150).</t>
        </is>
      </c>
    </row>
    <row r="17" ht="48" customHeight="1" s="38">
      <c r="A17" s="5">
        <f>A16+1</f>
        <v/>
      </c>
      <c r="B17" s="11" t="inlineStr">
        <is>
          <t>BINARIO (opcional)</t>
        </is>
      </c>
      <c r="C17" s="39" t="inlineStr">
        <is>
          <t>BYTEA</t>
        </is>
      </c>
      <c r="D17" s="41" t="inlineStr">
        <is>
          <t>Secuencia de bytes</t>
        </is>
      </c>
      <c r="E17" s="41" t="inlineStr">
        <is>
          <t>Variable (hasta 1 GB)</t>
        </is>
      </c>
      <c r="F17" s="41" t="inlineStr">
        <is>
          <t>No se usa: los archivos se referencian por URL.</t>
        </is>
      </c>
    </row>
    <row r="18" ht="48" customHeight="1" s="38">
      <c r="A18" s="5">
        <f>A17+1</f>
        <v/>
      </c>
      <c r="B18" s="11" t="inlineStr">
        <is>
          <t>JSON</t>
        </is>
      </c>
      <c r="C18" s="42" t="inlineStr">
        <is>
          <t>JSONB</t>
        </is>
      </c>
      <c r="D18" s="41" t="inlineStr">
        <is>
          <t>Documento JSON almacenado en binario</t>
        </is>
      </c>
      <c r="E18" s="41" t="inlineStr">
        <is>
          <t>Variable</t>
        </is>
      </c>
      <c r="F18" s="41" t="inlineStr">
        <is>
          <t>perfil.atributos_perfil (intereses, habilidades, deportes). JSONB permite índices GIN y consultas por clave.</t>
        </is>
      </c>
    </row>
    <row r="19" ht="15.75" customHeight="1" s="38"/>
    <row r="20" ht="15.75" customHeight="1" s="38"/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76"/>
  <sheetViews>
    <sheetView workbookViewId="0">
      <selection activeCell="A1" sqref="A1"/>
    </sheetView>
  </sheetViews>
  <sheetFormatPr baseColWidth="8" defaultColWidth="12.63" defaultRowHeight="15" customHeight="1"/>
  <cols>
    <col width="5.63" customWidth="1" style="38" min="1" max="1"/>
    <col width="16.5" customWidth="1" style="38" min="2" max="2"/>
    <col width="16" customWidth="1" style="38" min="3" max="3"/>
    <col width="3.88" customWidth="1" style="38" min="4" max="9"/>
    <col width="5.25" customWidth="1" style="38" min="10" max="10"/>
    <col width="3.88" customWidth="1" style="38" min="11" max="22"/>
    <col width="4.63" customWidth="1" style="38" min="23" max="23"/>
    <col width="17" customWidth="1" style="38" min="24" max="24"/>
    <col width="48" customWidth="1" style="38" min="25" max="25"/>
  </cols>
  <sheetData>
    <row r="1" ht="25.5" customHeight="1" s="38">
      <c r="A1" s="14" t="inlineStr">
        <is>
          <t>DICCIONARIO DE DATOS FÍSICO (PostgreSQL)</t>
        </is>
      </c>
    </row>
    <row r="2" ht="30.75" customHeight="1" s="38">
      <c r="A2" s="14" t="inlineStr">
        <is>
          <t>Inventario de Tablas</t>
        </is>
      </c>
    </row>
    <row r="3" ht="25.5" customHeight="1" s="38">
      <c r="A3" s="15" t="inlineStr">
        <is>
          <t>#</t>
        </is>
      </c>
      <c r="B3" s="43" t="inlineStr">
        <is>
          <t>Tabla</t>
        </is>
      </c>
      <c r="C3" s="44" t="n"/>
      <c r="D3" s="44" t="n"/>
      <c r="E3" s="45" t="n"/>
      <c r="F3" s="43" t="inlineStr">
        <is>
          <t>Descripción Tabla</t>
        </is>
      </c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5" t="n"/>
      <c r="X3" s="46" t="inlineStr">
        <is>
          <t>Observaciones</t>
        </is>
      </c>
      <c r="Y3" s="47" t="n"/>
    </row>
    <row r="4" ht="30" customHeight="1" s="38">
      <c r="A4" s="5" t="n">
        <v>1</v>
      </c>
      <c r="B4" s="6">
        <f>'Inventario Modelo Lógico (corre'!B3</f>
        <v/>
      </c>
      <c r="C4" s="48" t="n"/>
      <c r="D4" s="48" t="n"/>
      <c r="E4" s="49" t="n"/>
      <c r="F4" s="50">
        <f>'Inventario Modelo Lógico (corre'!C3</f>
        <v/>
      </c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9" t="n"/>
      <c r="X4" s="6" t="inlineStr">
        <is>
          <t>Entidad</t>
        </is>
      </c>
      <c r="Y4" s="49" t="n"/>
    </row>
    <row r="5" ht="30" customHeight="1" s="38">
      <c r="A5" s="5">
        <f>A4+1</f>
        <v/>
      </c>
      <c r="B5" s="6">
        <f>'Inventario Modelo Lógico (corre'!B4</f>
        <v/>
      </c>
      <c r="C5" s="48" t="n"/>
      <c r="D5" s="48" t="n"/>
      <c r="E5" s="49" t="n"/>
      <c r="F5" s="50">
        <f>'Inventario Modelo Lógico (corre'!C4</f>
        <v/>
      </c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9" t="n"/>
      <c r="X5" s="6" t="inlineStr">
        <is>
          <t>Entidad</t>
        </is>
      </c>
      <c r="Y5" s="49" t="n"/>
    </row>
    <row r="6" ht="30" customHeight="1" s="38">
      <c r="A6" s="5">
        <f>A5+1</f>
        <v/>
      </c>
      <c r="B6" s="6">
        <f>'Inventario Modelo Lógico (corre'!B5</f>
        <v/>
      </c>
      <c r="C6" s="48" t="n"/>
      <c r="D6" s="48" t="n"/>
      <c r="E6" s="49" t="n"/>
      <c r="F6" s="50">
        <f>'Inventario Modelo Lógico (corre'!C5</f>
        <v/>
      </c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9" t="n"/>
      <c r="X6" s="6" t="inlineStr">
        <is>
          <t>Entidad</t>
        </is>
      </c>
      <c r="Y6" s="49" t="n"/>
    </row>
    <row r="7" ht="30" customHeight="1" s="38">
      <c r="A7" s="5">
        <f>A6+1</f>
        <v/>
      </c>
      <c r="B7" s="6">
        <f>'Inventario Modelo Lógico (corre'!B6</f>
        <v/>
      </c>
      <c r="C7" s="48" t="n"/>
      <c r="D7" s="48" t="n"/>
      <c r="E7" s="49" t="n"/>
      <c r="F7" s="50">
        <f>'Inventario Modelo Lógico (corre'!C6</f>
        <v/>
      </c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9" t="n"/>
      <c r="X7" s="6" t="inlineStr">
        <is>
          <t>Entidad débil (1:1)</t>
        </is>
      </c>
      <c r="Y7" s="49" t="n"/>
    </row>
    <row r="8" ht="30" customHeight="1" s="38">
      <c r="A8" s="5">
        <f>A7+1</f>
        <v/>
      </c>
      <c r="B8" s="6">
        <f>'Inventario Modelo Lógico (corre'!B7</f>
        <v/>
      </c>
      <c r="C8" s="48" t="n"/>
      <c r="D8" s="48" t="n"/>
      <c r="E8" s="49" t="n"/>
      <c r="F8" s="50">
        <f>'Inventario Modelo Lógico (corre'!C7</f>
        <v/>
      </c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9" t="n"/>
      <c r="X8" s="6" t="inlineStr">
        <is>
          <t>Entidad</t>
        </is>
      </c>
      <c r="Y8" s="49" t="n"/>
    </row>
    <row r="9" ht="30" customHeight="1" s="38">
      <c r="A9" s="5">
        <f>A8+1</f>
        <v/>
      </c>
      <c r="B9" s="6">
        <f>'Inventario Modelo Lógico (corre'!B8</f>
        <v/>
      </c>
      <c r="C9" s="48" t="n"/>
      <c r="D9" s="48" t="n"/>
      <c r="E9" s="49" t="n"/>
      <c r="F9" s="50">
        <f>'Inventario Modelo Lógico (corre'!C8</f>
        <v/>
      </c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9" t="n"/>
      <c r="X9" s="6" t="inlineStr">
        <is>
          <t>Entidad</t>
        </is>
      </c>
      <c r="Y9" s="49" t="n"/>
    </row>
    <row r="10" ht="30" customHeight="1" s="38">
      <c r="A10" s="5">
        <f>A9+1</f>
        <v/>
      </c>
      <c r="B10" s="6">
        <f>'Inventario Modelo Lógico (corre'!B9</f>
        <v/>
      </c>
      <c r="C10" s="48" t="n"/>
      <c r="D10" s="48" t="n"/>
      <c r="E10" s="49" t="n"/>
      <c r="F10" s="50">
        <f>'Inventario Modelo Lógico (corre'!C9</f>
        <v/>
      </c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9" t="n"/>
      <c r="X10" s="6" t="inlineStr">
        <is>
          <t>Relación N:M</t>
        </is>
      </c>
      <c r="Y10" s="49" t="n"/>
    </row>
    <row r="11" ht="30" customHeight="1" s="38">
      <c r="A11" s="5">
        <f>A10+1</f>
        <v/>
      </c>
      <c r="B11" s="6">
        <f>'Inventario Modelo Lógico (corre'!B10</f>
        <v/>
      </c>
      <c r="C11" s="48" t="n"/>
      <c r="D11" s="48" t="n"/>
      <c r="E11" s="49" t="n"/>
      <c r="F11" s="50">
        <f>'Inventario Modelo Lógico (corre'!C10</f>
        <v/>
      </c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9" t="n"/>
      <c r="X11" s="6" t="inlineStr">
        <is>
          <t>Relación N:M recursiva</t>
        </is>
      </c>
      <c r="Y11" s="49" t="n"/>
    </row>
    <row r="12" ht="30" customHeight="1" s="38">
      <c r="A12" s="5">
        <f>A11+1</f>
        <v/>
      </c>
      <c r="B12" s="6">
        <f>'Inventario Modelo Lógico (corre'!B11</f>
        <v/>
      </c>
      <c r="C12" s="48" t="n"/>
      <c r="D12" s="48" t="n"/>
      <c r="E12" s="49" t="n"/>
      <c r="F12" s="50">
        <f>'Inventario Modelo Lógico (corre'!C11</f>
        <v/>
      </c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9" t="n"/>
      <c r="X12" s="6" t="inlineStr">
        <is>
          <t>Entidad</t>
        </is>
      </c>
      <c r="Y12" s="49" t="n"/>
    </row>
    <row r="13" ht="30" customHeight="1" s="38">
      <c r="A13" s="5">
        <f>A12+1</f>
        <v/>
      </c>
      <c r="B13" s="6">
        <f>'Inventario Modelo Lógico (corre'!B12</f>
        <v/>
      </c>
      <c r="C13" s="48" t="n"/>
      <c r="D13" s="48" t="n"/>
      <c r="E13" s="49" t="n"/>
      <c r="F13" s="50">
        <f>'Inventario Modelo Lógico (corre'!C12</f>
        <v/>
      </c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9" t="n"/>
      <c r="X13" s="6" t="inlineStr">
        <is>
          <t>Entidad</t>
        </is>
      </c>
      <c r="Y13" s="49" t="n"/>
    </row>
    <row r="14" ht="30" customHeight="1" s="38">
      <c r="A14" s="5">
        <f>A13+1</f>
        <v/>
      </c>
      <c r="B14" s="6">
        <f>'Inventario Modelo Lógico (corre'!B13</f>
        <v/>
      </c>
      <c r="C14" s="48" t="n"/>
      <c r="D14" s="48" t="n"/>
      <c r="E14" s="49" t="n"/>
      <c r="F14" s="50">
        <f>'Inventario Modelo Lógico (corre'!C13</f>
        <v/>
      </c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9" t="n"/>
      <c r="X14" s="6" t="inlineStr">
        <is>
          <t>Entidad débil</t>
        </is>
      </c>
      <c r="Y14" s="49" t="n"/>
    </row>
    <row r="15" ht="30" customHeight="1" s="38">
      <c r="A15" s="5">
        <f>A14+1</f>
        <v/>
      </c>
      <c r="B15" s="6">
        <f>'Inventario Modelo Lógico (corre'!B14</f>
        <v/>
      </c>
      <c r="C15" s="48" t="n"/>
      <c r="D15" s="48" t="n"/>
      <c r="E15" s="49" t="n"/>
      <c r="F15" s="50">
        <f>'Inventario Modelo Lógico (corre'!C14</f>
        <v/>
      </c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9" t="n"/>
      <c r="X15" s="6" t="inlineStr">
        <is>
          <t>Entidad</t>
        </is>
      </c>
      <c r="Y15" s="49" t="n"/>
    </row>
    <row r="16" ht="30" customHeight="1" s="38">
      <c r="A16" s="5">
        <f>A15+1</f>
        <v/>
      </c>
      <c r="B16" s="6">
        <f>'Inventario Modelo Lógico (corre'!B15</f>
        <v/>
      </c>
      <c r="C16" s="48" t="n"/>
      <c r="D16" s="48" t="n"/>
      <c r="E16" s="49" t="n"/>
      <c r="F16" s="50">
        <f>'Inventario Modelo Lógico (corre'!C15</f>
        <v/>
      </c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9" t="n"/>
      <c r="X16" s="6" t="inlineStr">
        <is>
          <t>Entidad</t>
        </is>
      </c>
      <c r="Y16" s="49" t="n"/>
    </row>
    <row r="17" ht="30" customHeight="1" s="38">
      <c r="A17" s="5">
        <f>A16+1</f>
        <v/>
      </c>
      <c r="B17" s="6">
        <f>'Inventario Modelo Lógico (corre'!B16</f>
        <v/>
      </c>
      <c r="C17" s="48" t="n"/>
      <c r="D17" s="48" t="n"/>
      <c r="E17" s="49" t="n"/>
      <c r="F17" s="50">
        <f>'Inventario Modelo Lógico (corre'!C16</f>
        <v/>
      </c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9" t="n"/>
      <c r="X17" s="6" t="inlineStr">
        <is>
          <t>Entidad</t>
        </is>
      </c>
      <c r="Y17" s="49" t="n"/>
    </row>
    <row r="18" ht="30" customHeight="1" s="38">
      <c r="A18" s="5">
        <f>A17+1</f>
        <v/>
      </c>
      <c r="B18" s="6">
        <f>'Inventario Modelo Lógico (corre'!B17</f>
        <v/>
      </c>
      <c r="C18" s="48" t="n"/>
      <c r="D18" s="48" t="n"/>
      <c r="E18" s="49" t="n"/>
      <c r="F18" s="50">
        <f>'Inventario Modelo Lógico (corre'!C17</f>
        <v/>
      </c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9" t="n"/>
      <c r="X18" s="6" t="inlineStr">
        <is>
          <t>Entidad</t>
        </is>
      </c>
      <c r="Y18" s="49" t="n"/>
    </row>
    <row r="19" ht="30" customHeight="1" s="38">
      <c r="A19" s="5">
        <f>A18+1</f>
        <v/>
      </c>
      <c r="B19" s="6">
        <f>'Inventario Modelo Lógico (corre'!B18</f>
        <v/>
      </c>
      <c r="C19" s="48" t="n"/>
      <c r="D19" s="48" t="n"/>
      <c r="E19" s="49" t="n"/>
      <c r="F19" s="50">
        <f>'Inventario Modelo Lógico (corre'!C18</f>
        <v/>
      </c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9" t="n"/>
      <c r="X19" s="6" t="inlineStr">
        <is>
          <t>Relación N:M con atributos (entidad asociativa)</t>
        </is>
      </c>
      <c r="Y19" s="49" t="n"/>
    </row>
    <row r="20" ht="30" customHeight="1" s="38">
      <c r="A20" s="5">
        <f>A19+1</f>
        <v/>
      </c>
      <c r="B20" s="6">
        <f>'Inventario Modelo Lógico (corre'!B19</f>
        <v/>
      </c>
      <c r="C20" s="48" t="n"/>
      <c r="D20" s="48" t="n"/>
      <c r="E20" s="49" t="n"/>
      <c r="F20" s="50">
        <f>'Inventario Modelo Lógico (corre'!C19</f>
        <v/>
      </c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9" t="n"/>
      <c r="X20" s="6" t="inlineStr">
        <is>
          <t>Entidad débil</t>
        </is>
      </c>
      <c r="Y20" s="49" t="n"/>
    </row>
    <row r="21" ht="30" customHeight="1" s="38">
      <c r="A21" s="5">
        <f>A20+1</f>
        <v/>
      </c>
      <c r="B21" s="6">
        <f>'Inventario Modelo Lógico (corre'!B20</f>
        <v/>
      </c>
      <c r="C21" s="48" t="n"/>
      <c r="D21" s="48" t="n"/>
      <c r="E21" s="49" t="n"/>
      <c r="F21" s="50">
        <f>'Inventario Modelo Lógico (corre'!C20</f>
        <v/>
      </c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9" t="n"/>
      <c r="X21" s="6" t="inlineStr">
        <is>
          <t>Entidad</t>
        </is>
      </c>
      <c r="Y21" s="49" t="n"/>
    </row>
    <row r="22" ht="30" customHeight="1" s="38">
      <c r="A22" s="5">
        <f>A21+1</f>
        <v/>
      </c>
      <c r="B22" s="6">
        <f>'Inventario Modelo Lógico (corre'!B21</f>
        <v/>
      </c>
      <c r="C22" s="48" t="n"/>
      <c r="D22" s="48" t="n"/>
      <c r="E22" s="49" t="n"/>
      <c r="F22" s="50">
        <f>'Inventario Modelo Lógico (corre'!C21</f>
        <v/>
      </c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9" t="n"/>
      <c r="X22" s="6" t="inlineStr">
        <is>
          <t>Entidad</t>
        </is>
      </c>
      <c r="Y22" s="49" t="n"/>
    </row>
    <row r="23" ht="30" customHeight="1" s="38">
      <c r="A23" s="5">
        <f>A22+1</f>
        <v/>
      </c>
      <c r="B23" s="6">
        <f>'Inventario Modelo Lógico (corre'!B22</f>
        <v/>
      </c>
      <c r="C23" s="48" t="n"/>
      <c r="D23" s="48" t="n"/>
      <c r="E23" s="49" t="n"/>
      <c r="F23" s="50">
        <f>'Inventario Modelo Lógico (corre'!C22</f>
        <v/>
      </c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9" t="n"/>
      <c r="X23" s="6" t="inlineStr">
        <is>
          <t>Relación N:M con atributos (entidad asociativa)</t>
        </is>
      </c>
      <c r="Y23" s="49" t="n"/>
    </row>
    <row r="24" ht="30" customHeight="1" s="38">
      <c r="A24" s="5">
        <f>A23+1</f>
        <v/>
      </c>
      <c r="B24" s="6">
        <f>'Inventario Modelo Lógico (corre'!B23</f>
        <v/>
      </c>
      <c r="C24" s="48" t="n"/>
      <c r="D24" s="48" t="n"/>
      <c r="E24" s="49" t="n"/>
      <c r="F24" s="50">
        <f>'Inventario Modelo Lógico (corre'!C23</f>
        <v/>
      </c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9" t="n"/>
      <c r="X24" s="6" t="inlineStr">
        <is>
          <t>Entidad</t>
        </is>
      </c>
      <c r="Y24" s="49" t="n"/>
    </row>
    <row r="25" ht="30" customHeight="1" s="38">
      <c r="A25" s="5">
        <f>A24+1</f>
        <v/>
      </c>
      <c r="B25" s="6">
        <f>'Inventario Modelo Lógico (corre'!B24</f>
        <v/>
      </c>
      <c r="C25" s="48" t="n"/>
      <c r="D25" s="48" t="n"/>
      <c r="E25" s="49" t="n"/>
      <c r="F25" s="50">
        <f>'Inventario Modelo Lógico (corre'!C24</f>
        <v/>
      </c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9" t="n"/>
      <c r="X25" s="6" t="inlineStr">
        <is>
          <t>Entidad</t>
        </is>
      </c>
      <c r="Y25" s="49" t="n"/>
    </row>
    <row r="26" ht="30" customHeight="1" s="38">
      <c r="A26" s="5">
        <f>A25+1</f>
        <v/>
      </c>
      <c r="B26" s="6">
        <f>'Inventario Modelo Lógico (corre'!B25</f>
        <v/>
      </c>
      <c r="C26" s="48" t="n"/>
      <c r="D26" s="48" t="n"/>
      <c r="E26" s="49" t="n"/>
      <c r="F26" s="50">
        <f>'Inventario Modelo Lógico (corre'!C25</f>
        <v/>
      </c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9" t="n"/>
      <c r="X26" s="6" t="inlineStr">
        <is>
          <t>Relación N:M con atributos</t>
        </is>
      </c>
      <c r="Y26" s="49" t="n"/>
    </row>
    <row r="27" ht="30" customHeight="1" s="38">
      <c r="A27" s="5" t="n"/>
      <c r="B27" s="6" t="n"/>
      <c r="C27" s="48" t="n"/>
      <c r="D27" s="48" t="n"/>
      <c r="E27" s="49" t="n"/>
      <c r="F27" s="50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9" t="n"/>
      <c r="X27" s="6" t="n"/>
      <c r="Y27" s="49" t="n"/>
    </row>
    <row r="28" ht="30" customHeight="1" s="38">
      <c r="A28" s="5" t="n"/>
      <c r="B28" s="6" t="n"/>
      <c r="C28" s="48" t="n"/>
      <c r="D28" s="48" t="n"/>
      <c r="E28" s="49" t="n"/>
      <c r="F28" s="50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9" t="n"/>
      <c r="X28" s="6" t="n"/>
      <c r="Y28" s="49" t="n"/>
    </row>
    <row r="29" ht="35.25" customHeight="1" s="3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4.75" customHeight="1" s="38">
      <c r="A30" s="2" t="inlineStr">
        <is>
          <t>Tablas en Detalle</t>
        </is>
      </c>
    </row>
    <row r="31" ht="28.5" customHeight="1" s="38"/>
    <row r="32" ht="32" customHeight="1" s="38">
      <c r="A32" s="24" t="n">
        <v>1</v>
      </c>
      <c r="B32" s="30" t="inlineStr">
        <is>
          <t>Tabla</t>
        </is>
      </c>
      <c r="C32" s="29">
        <f>B4</f>
        <v/>
      </c>
      <c r="D32" s="48" t="n"/>
      <c r="E32" s="48" t="n"/>
      <c r="F32" s="49" t="n"/>
      <c r="G32" s="28" t="inlineStr">
        <is>
          <t>Descripción Tabla</t>
        </is>
      </c>
      <c r="H32" s="48" t="n"/>
      <c r="I32" s="48" t="n"/>
      <c r="J32" s="49" t="n"/>
      <c r="K32" s="51">
        <f>F4</f>
        <v/>
      </c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9" t="n"/>
      <c r="X32" s="28" t="inlineStr">
        <is>
          <t>Versión</t>
        </is>
      </c>
      <c r="Y32" s="29" t="inlineStr">
        <is>
          <t>3.0</t>
        </is>
      </c>
    </row>
    <row r="33" ht="41.25" customHeight="1" s="38">
      <c r="A33" s="28" t="inlineStr">
        <is>
          <t>#</t>
        </is>
      </c>
      <c r="B33" s="28" t="inlineStr">
        <is>
          <t>Campo</t>
        </is>
      </c>
      <c r="C33" s="28" t="inlineStr">
        <is>
          <t>Descripción Campo</t>
        </is>
      </c>
      <c r="D33" s="48" t="n"/>
      <c r="E33" s="48" t="n"/>
      <c r="F33" s="49" t="n"/>
      <c r="G33" s="28" t="inlineStr">
        <is>
          <t>Tipo Dato
(PostgreSQL)</t>
        </is>
      </c>
      <c r="H33" s="48" t="n"/>
      <c r="I33" s="48" t="n"/>
      <c r="J33" s="49" t="n"/>
      <c r="K33" s="28" t="inlineStr">
        <is>
          <t>Tamaño / Longitud</t>
        </is>
      </c>
      <c r="L33" s="48" t="n"/>
      <c r="M33" s="48" t="n"/>
      <c r="N33" s="49" t="n"/>
      <c r="O33" s="28" t="inlineStr">
        <is>
          <t>Nulo</t>
        </is>
      </c>
      <c r="P33" s="48" t="n"/>
      <c r="Q33" s="49" t="n"/>
      <c r="R33" s="28" t="inlineStr">
        <is>
          <t>PK</t>
        </is>
      </c>
      <c r="S33" s="49" t="n"/>
      <c r="T33" s="28" t="inlineStr">
        <is>
          <t>FK</t>
        </is>
      </c>
      <c r="U33" s="49" t="n"/>
      <c r="V33" s="28" t="inlineStr">
        <is>
          <t>UK</t>
        </is>
      </c>
      <c r="W33" s="49" t="n"/>
      <c r="X33" s="28" t="inlineStr">
        <is>
          <t>Nota/Comentarios</t>
        </is>
      </c>
      <c r="Y33" s="49" t="n"/>
    </row>
    <row r="34" ht="30" customHeight="1" s="38">
      <c r="A34" s="52" t="n">
        <v>1</v>
      </c>
      <c r="B34" s="53" t="inlineStr">
        <is>
          <t>id_rol</t>
        </is>
      </c>
      <c r="C34" s="53" t="inlineStr">
        <is>
          <t>Identificador único del rol</t>
        </is>
      </c>
      <c r="D34" s="48" t="n"/>
      <c r="E34" s="48" t="n"/>
      <c r="F34" s="49" t="n"/>
      <c r="G34" s="54" t="inlineStr">
        <is>
          <t>SMALLINT</t>
        </is>
      </c>
      <c r="H34" s="48" t="n"/>
      <c r="I34" s="48" t="n"/>
      <c r="J34" s="49" t="n"/>
      <c r="K34" s="54" t="inlineStr">
        <is>
          <t>2 bytes</t>
        </is>
      </c>
      <c r="L34" s="48" t="n"/>
      <c r="M34" s="48" t="n"/>
      <c r="N34" s="49" t="n"/>
      <c r="O34" s="54" t="inlineStr">
        <is>
          <t>No</t>
        </is>
      </c>
      <c r="P34" s="48" t="n"/>
      <c r="Q34" s="49" t="n"/>
      <c r="R34" s="54" t="inlineStr">
        <is>
          <t>S</t>
        </is>
      </c>
      <c r="S34" s="49" t="n"/>
      <c r="T34" s="54" t="n"/>
      <c r="U34" s="49" t="n"/>
      <c r="V34" s="54" t="n"/>
      <c r="W34" s="49" t="n"/>
      <c r="X34" s="53" t="inlineStr">
        <is>
          <t>GENERATED ALWAYS AS IDENTITY</t>
        </is>
      </c>
      <c r="Y34" s="49" t="n"/>
    </row>
    <row r="35" ht="30" customHeight="1" s="38">
      <c r="A35" s="52" t="n">
        <v>2</v>
      </c>
      <c r="B35" s="53" t="inlineStr">
        <is>
          <t>nombre_rol</t>
        </is>
      </c>
      <c r="C35" s="53" t="inlineStr">
        <is>
          <t>Nombre del rol: administrador, auxiliar, miembro, visitante</t>
        </is>
      </c>
      <c r="D35" s="48" t="n"/>
      <c r="E35" s="48" t="n"/>
      <c r="F35" s="49" t="n"/>
      <c r="G35" s="54" t="inlineStr">
        <is>
          <t>VARCHAR</t>
        </is>
      </c>
      <c r="H35" s="48" t="n"/>
      <c r="I35" s="48" t="n"/>
      <c r="J35" s="49" t="n"/>
      <c r="K35" s="54" t="inlineStr">
        <is>
          <t>30</t>
        </is>
      </c>
      <c r="L35" s="48" t="n"/>
      <c r="M35" s="48" t="n"/>
      <c r="N35" s="49" t="n"/>
      <c r="O35" s="54" t="inlineStr">
        <is>
          <t>No</t>
        </is>
      </c>
      <c r="P35" s="48" t="n"/>
      <c r="Q35" s="49" t="n"/>
      <c r="R35" s="54" t="n"/>
      <c r="S35" s="49" t="n"/>
      <c r="T35" s="54" t="n"/>
      <c r="U35" s="49" t="n"/>
      <c r="V35" s="54" t="inlineStr">
        <is>
          <t>S</t>
        </is>
      </c>
      <c r="W35" s="49" t="n"/>
      <c r="X35" s="53" t="n"/>
      <c r="Y35" s="49" t="n"/>
    </row>
    <row r="36" ht="30" customHeight="1" s="38">
      <c r="A36" s="52" t="n">
        <v>3</v>
      </c>
      <c r="B36" s="53" t="inlineStr">
        <is>
          <t>descripcion_rol</t>
        </is>
      </c>
      <c r="C36" s="53" t="inlineStr">
        <is>
          <t>Alcance de los permisos que otorga el rol</t>
        </is>
      </c>
      <c r="D36" s="48" t="n"/>
      <c r="E36" s="48" t="n"/>
      <c r="F36" s="49" t="n"/>
      <c r="G36" s="54" t="inlineStr">
        <is>
          <t>VARCHAR</t>
        </is>
      </c>
      <c r="H36" s="48" t="n"/>
      <c r="I36" s="48" t="n"/>
      <c r="J36" s="49" t="n"/>
      <c r="K36" s="54" t="inlineStr">
        <is>
          <t>255</t>
        </is>
      </c>
      <c r="L36" s="48" t="n"/>
      <c r="M36" s="48" t="n"/>
      <c r="N36" s="49" t="n"/>
      <c r="O36" s="54" t="inlineStr">
        <is>
          <t>Sí</t>
        </is>
      </c>
      <c r="P36" s="48" t="n"/>
      <c r="Q36" s="49" t="n"/>
      <c r="R36" s="54" t="n"/>
      <c r="S36" s="49" t="n"/>
      <c r="T36" s="54" t="n"/>
      <c r="U36" s="49" t="n"/>
      <c r="V36" s="54" t="n"/>
      <c r="W36" s="49" t="n"/>
      <c r="X36" s="53" t="n"/>
      <c r="Y36" s="49" t="n"/>
    </row>
    <row r="37" ht="30" customHeight="1" s="38">
      <c r="A37" s="52" t="n">
        <v>4</v>
      </c>
      <c r="B37" s="53" t="inlineStr">
        <is>
          <t>estado_rol</t>
        </is>
      </c>
      <c r="C37" s="53" t="inlineStr">
        <is>
          <t>Indica si el rol puede asignarse (TRUE = vigente)</t>
        </is>
      </c>
      <c r="D37" s="48" t="n"/>
      <c r="E37" s="48" t="n"/>
      <c r="F37" s="49" t="n"/>
      <c r="G37" s="54" t="inlineStr">
        <is>
          <t>BOOLEAN</t>
        </is>
      </c>
      <c r="H37" s="48" t="n"/>
      <c r="I37" s="48" t="n"/>
      <c r="J37" s="49" t="n"/>
      <c r="K37" s="54" t="inlineStr">
        <is>
          <t>1 byte</t>
        </is>
      </c>
      <c r="L37" s="48" t="n"/>
      <c r="M37" s="48" t="n"/>
      <c r="N37" s="49" t="n"/>
      <c r="O37" s="54" t="inlineStr">
        <is>
          <t>No</t>
        </is>
      </c>
      <c r="P37" s="48" t="n"/>
      <c r="Q37" s="49" t="n"/>
      <c r="R37" s="54" t="n"/>
      <c r="S37" s="49" t="n"/>
      <c r="T37" s="54" t="n"/>
      <c r="U37" s="49" t="n"/>
      <c r="V37" s="54" t="n"/>
      <c r="W37" s="49" t="n"/>
      <c r="X37" s="53" t="inlineStr">
        <is>
          <t>DEFAULT true</t>
        </is>
      </c>
      <c r="Y37" s="49" t="n"/>
    </row>
    <row r="38" ht="26.25" customHeight="1" s="38"/>
    <row r="39" ht="26.25" customHeight="1" s="38"/>
    <row r="40" ht="32" customHeight="1" s="38">
      <c r="A40" s="24" t="n">
        <v>2</v>
      </c>
      <c r="B40" s="30" t="inlineStr">
        <is>
          <t>Tabla</t>
        </is>
      </c>
      <c r="C40" s="29">
        <f>B5</f>
        <v/>
      </c>
      <c r="D40" s="48" t="n"/>
      <c r="E40" s="48" t="n"/>
      <c r="F40" s="49" t="n"/>
      <c r="G40" s="28" t="inlineStr">
        <is>
          <t>Descripción Tabla</t>
        </is>
      </c>
      <c r="H40" s="48" t="n"/>
      <c r="I40" s="48" t="n"/>
      <c r="J40" s="49" t="n"/>
      <c r="K40" s="51">
        <f>F5</f>
        <v/>
      </c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9" t="n"/>
      <c r="X40" s="28" t="inlineStr">
        <is>
          <t>Versión</t>
        </is>
      </c>
      <c r="Y40" s="29" t="inlineStr">
        <is>
          <t>3.0</t>
        </is>
      </c>
    </row>
    <row r="41" ht="41.25" customHeight="1" s="38">
      <c r="A41" s="28" t="inlineStr">
        <is>
          <t>#</t>
        </is>
      </c>
      <c r="B41" s="28" t="inlineStr">
        <is>
          <t>Campo</t>
        </is>
      </c>
      <c r="C41" s="28" t="inlineStr">
        <is>
          <t>Descripción Campo</t>
        </is>
      </c>
      <c r="D41" s="48" t="n"/>
      <c r="E41" s="48" t="n"/>
      <c r="F41" s="49" t="n"/>
      <c r="G41" s="28" t="inlineStr">
        <is>
          <t>Tipo Dato
(PostgreSQL)</t>
        </is>
      </c>
      <c r="H41" s="48" t="n"/>
      <c r="I41" s="48" t="n"/>
      <c r="J41" s="49" t="n"/>
      <c r="K41" s="28" t="inlineStr">
        <is>
          <t>Tamaño / Longitud</t>
        </is>
      </c>
      <c r="L41" s="48" t="n"/>
      <c r="M41" s="48" t="n"/>
      <c r="N41" s="49" t="n"/>
      <c r="O41" s="28" t="inlineStr">
        <is>
          <t>Nulo</t>
        </is>
      </c>
      <c r="P41" s="48" t="n"/>
      <c r="Q41" s="49" t="n"/>
      <c r="R41" s="28" t="inlineStr">
        <is>
          <t>PK</t>
        </is>
      </c>
      <c r="S41" s="49" t="n"/>
      <c r="T41" s="28" t="inlineStr">
        <is>
          <t>FK</t>
        </is>
      </c>
      <c r="U41" s="49" t="n"/>
      <c r="V41" s="28" t="inlineStr">
        <is>
          <t>UK</t>
        </is>
      </c>
      <c r="W41" s="49" t="n"/>
      <c r="X41" s="28" t="inlineStr">
        <is>
          <t>Nota/Comentarios</t>
        </is>
      </c>
      <c r="Y41" s="49" t="n"/>
    </row>
    <row r="42" ht="30" customHeight="1" s="38">
      <c r="A42" s="52" t="n">
        <v>1</v>
      </c>
      <c r="B42" s="53" t="inlineStr">
        <is>
          <t>id_tipo_usuario</t>
        </is>
      </c>
      <c r="C42" s="53" t="inlineStr">
        <is>
          <t>Identificador único del tipo de usuario</t>
        </is>
      </c>
      <c r="D42" s="48" t="n"/>
      <c r="E42" s="48" t="n"/>
      <c r="F42" s="49" t="n"/>
      <c r="G42" s="54" t="inlineStr">
        <is>
          <t>SMALLINT</t>
        </is>
      </c>
      <c r="H42" s="48" t="n"/>
      <c r="I42" s="48" t="n"/>
      <c r="J42" s="49" t="n"/>
      <c r="K42" s="54" t="inlineStr">
        <is>
          <t>2 bytes</t>
        </is>
      </c>
      <c r="L42" s="48" t="n"/>
      <c r="M42" s="48" t="n"/>
      <c r="N42" s="49" t="n"/>
      <c r="O42" s="54" t="inlineStr">
        <is>
          <t>No</t>
        </is>
      </c>
      <c r="P42" s="48" t="n"/>
      <c r="Q42" s="49" t="n"/>
      <c r="R42" s="54" t="inlineStr">
        <is>
          <t>S</t>
        </is>
      </c>
      <c r="S42" s="49" t="n"/>
      <c r="T42" s="54" t="n"/>
      <c r="U42" s="49" t="n"/>
      <c r="V42" s="54" t="n"/>
      <c r="W42" s="49" t="n"/>
      <c r="X42" s="53" t="inlineStr">
        <is>
          <t>GENERATED ALWAYS AS IDENTITY</t>
        </is>
      </c>
      <c r="Y42" s="49" t="n"/>
    </row>
    <row r="43" ht="30" customHeight="1" s="38">
      <c r="A43" s="52" t="n">
        <v>2</v>
      </c>
      <c r="B43" s="53" t="inlineStr">
        <is>
          <t>nombre_tipo_usuario</t>
        </is>
      </c>
      <c r="C43" s="53" t="inlineStr">
        <is>
          <t>Nombre del tipo: estudiante, docente, egresado...</t>
        </is>
      </c>
      <c r="D43" s="48" t="n"/>
      <c r="E43" s="48" t="n"/>
      <c r="F43" s="49" t="n"/>
      <c r="G43" s="54" t="inlineStr">
        <is>
          <t>VARCHAR</t>
        </is>
      </c>
      <c r="H43" s="48" t="n"/>
      <c r="I43" s="48" t="n"/>
      <c r="J43" s="49" t="n"/>
      <c r="K43" s="54" t="inlineStr">
        <is>
          <t>40</t>
        </is>
      </c>
      <c r="L43" s="48" t="n"/>
      <c r="M43" s="48" t="n"/>
      <c r="N43" s="49" t="n"/>
      <c r="O43" s="54" t="inlineStr">
        <is>
          <t>No</t>
        </is>
      </c>
      <c r="P43" s="48" t="n"/>
      <c r="Q43" s="49" t="n"/>
      <c r="R43" s="54" t="n"/>
      <c r="S43" s="49" t="n"/>
      <c r="T43" s="54" t="n"/>
      <c r="U43" s="49" t="n"/>
      <c r="V43" s="54" t="inlineStr">
        <is>
          <t>S</t>
        </is>
      </c>
      <c r="W43" s="49" t="n"/>
      <c r="X43" s="53" t="n"/>
      <c r="Y43" s="49" t="n"/>
    </row>
    <row r="44" ht="30" customHeight="1" s="38">
      <c r="A44" s="52" t="n">
        <v>3</v>
      </c>
      <c r="B44" s="53" t="inlineStr">
        <is>
          <t>descripcion_tipo_usuario</t>
        </is>
      </c>
      <c r="C44" s="53" t="inlineStr">
        <is>
          <t>Aclaración del alcance del tipo de usuario</t>
        </is>
      </c>
      <c r="D44" s="48" t="n"/>
      <c r="E44" s="48" t="n"/>
      <c r="F44" s="49" t="n"/>
      <c r="G44" s="54" t="inlineStr">
        <is>
          <t>VARCHAR</t>
        </is>
      </c>
      <c r="H44" s="48" t="n"/>
      <c r="I44" s="48" t="n"/>
      <c r="J44" s="49" t="n"/>
      <c r="K44" s="54" t="inlineStr">
        <is>
          <t>255</t>
        </is>
      </c>
      <c r="L44" s="48" t="n"/>
      <c r="M44" s="48" t="n"/>
      <c r="N44" s="49" t="n"/>
      <c r="O44" s="54" t="inlineStr">
        <is>
          <t>Sí</t>
        </is>
      </c>
      <c r="P44" s="48" t="n"/>
      <c r="Q44" s="49" t="n"/>
      <c r="R44" s="54" t="n"/>
      <c r="S44" s="49" t="n"/>
      <c r="T44" s="54" t="n"/>
      <c r="U44" s="49" t="n"/>
      <c r="V44" s="54" t="n"/>
      <c r="W44" s="49" t="n"/>
      <c r="X44" s="53" t="n"/>
      <c r="Y44" s="49" t="n"/>
    </row>
    <row r="45" ht="30" customHeight="1" s="38">
      <c r="A45" s="52" t="n">
        <v>4</v>
      </c>
      <c r="B45" s="53" t="inlineStr">
        <is>
          <t>estado_tipo_usuario</t>
        </is>
      </c>
      <c r="C45" s="53" t="inlineStr">
        <is>
          <t>Indica si el tipo está vigente para nuevas asignaciones</t>
        </is>
      </c>
      <c r="D45" s="48" t="n"/>
      <c r="E45" s="48" t="n"/>
      <c r="F45" s="49" t="n"/>
      <c r="G45" s="54" t="inlineStr">
        <is>
          <t>BOOLEAN</t>
        </is>
      </c>
      <c r="H45" s="48" t="n"/>
      <c r="I45" s="48" t="n"/>
      <c r="J45" s="49" t="n"/>
      <c r="K45" s="54" t="inlineStr">
        <is>
          <t>1 byte</t>
        </is>
      </c>
      <c r="L45" s="48" t="n"/>
      <c r="M45" s="48" t="n"/>
      <c r="N45" s="49" t="n"/>
      <c r="O45" s="54" t="inlineStr">
        <is>
          <t>No</t>
        </is>
      </c>
      <c r="P45" s="48" t="n"/>
      <c r="Q45" s="49" t="n"/>
      <c r="R45" s="54" t="n"/>
      <c r="S45" s="49" t="n"/>
      <c r="T45" s="54" t="n"/>
      <c r="U45" s="49" t="n"/>
      <c r="V45" s="54" t="n"/>
      <c r="W45" s="49" t="n"/>
      <c r="X45" s="53" t="inlineStr">
        <is>
          <t>DEFAULT true</t>
        </is>
      </c>
      <c r="Y45" s="49" t="n"/>
    </row>
    <row r="46" ht="26.25" customHeight="1" s="38"/>
    <row r="47" ht="26.25" customHeight="1" s="38"/>
    <row r="48" ht="32" customHeight="1" s="38">
      <c r="A48" s="24" t="n">
        <v>3</v>
      </c>
      <c r="B48" s="30" t="inlineStr">
        <is>
          <t>Tabla</t>
        </is>
      </c>
      <c r="C48" s="29">
        <f>B6</f>
        <v/>
      </c>
      <c r="D48" s="48" t="n"/>
      <c r="E48" s="48" t="n"/>
      <c r="F48" s="49" t="n"/>
      <c r="G48" s="28" t="inlineStr">
        <is>
          <t>Descripción Tabla</t>
        </is>
      </c>
      <c r="H48" s="48" t="n"/>
      <c r="I48" s="48" t="n"/>
      <c r="J48" s="49" t="n"/>
      <c r="K48" s="51">
        <f>F6</f>
        <v/>
      </c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9" t="n"/>
      <c r="X48" s="28" t="inlineStr">
        <is>
          <t>Versión</t>
        </is>
      </c>
      <c r="Y48" s="29" t="inlineStr">
        <is>
          <t>3.0</t>
        </is>
      </c>
    </row>
    <row r="49" ht="41.25" customHeight="1" s="38">
      <c r="A49" s="28" t="inlineStr">
        <is>
          <t>#</t>
        </is>
      </c>
      <c r="B49" s="28" t="inlineStr">
        <is>
          <t>Campo</t>
        </is>
      </c>
      <c r="C49" s="28" t="inlineStr">
        <is>
          <t>Descripción Campo</t>
        </is>
      </c>
      <c r="D49" s="48" t="n"/>
      <c r="E49" s="48" t="n"/>
      <c r="F49" s="49" t="n"/>
      <c r="G49" s="28" t="inlineStr">
        <is>
          <t>Tipo Dato
(PostgreSQL)</t>
        </is>
      </c>
      <c r="H49" s="48" t="n"/>
      <c r="I49" s="48" t="n"/>
      <c r="J49" s="49" t="n"/>
      <c r="K49" s="28" t="inlineStr">
        <is>
          <t>Tamaño / Longitud</t>
        </is>
      </c>
      <c r="L49" s="48" t="n"/>
      <c r="M49" s="48" t="n"/>
      <c r="N49" s="49" t="n"/>
      <c r="O49" s="28" t="inlineStr">
        <is>
          <t>Nulo</t>
        </is>
      </c>
      <c r="P49" s="48" t="n"/>
      <c r="Q49" s="49" t="n"/>
      <c r="R49" s="28" t="inlineStr">
        <is>
          <t>PK</t>
        </is>
      </c>
      <c r="S49" s="49" t="n"/>
      <c r="T49" s="28" t="inlineStr">
        <is>
          <t>FK</t>
        </is>
      </c>
      <c r="U49" s="49" t="n"/>
      <c r="V49" s="28" t="inlineStr">
        <is>
          <t>UK</t>
        </is>
      </c>
      <c r="W49" s="49" t="n"/>
      <c r="X49" s="28" t="inlineStr">
        <is>
          <t>Nota/Comentarios</t>
        </is>
      </c>
      <c r="Y49" s="49" t="n"/>
    </row>
    <row r="50" ht="30" customHeight="1" s="38">
      <c r="A50" s="52" t="n">
        <v>1</v>
      </c>
      <c r="B50" s="53" t="inlineStr">
        <is>
          <t>id_usuario</t>
        </is>
      </c>
      <c r="C50" s="53" t="inlineStr">
        <is>
          <t>Identificador interno del usuario</t>
        </is>
      </c>
      <c r="D50" s="48" t="n"/>
      <c r="E50" s="48" t="n"/>
      <c r="F50" s="49" t="n"/>
      <c r="G50" s="54" t="inlineStr">
        <is>
          <t>INTEGER</t>
        </is>
      </c>
      <c r="H50" s="48" t="n"/>
      <c r="I50" s="48" t="n"/>
      <c r="J50" s="49" t="n"/>
      <c r="K50" s="54" t="inlineStr">
        <is>
          <t>4 bytes</t>
        </is>
      </c>
      <c r="L50" s="48" t="n"/>
      <c r="M50" s="48" t="n"/>
      <c r="N50" s="49" t="n"/>
      <c r="O50" s="54" t="inlineStr">
        <is>
          <t>No</t>
        </is>
      </c>
      <c r="P50" s="48" t="n"/>
      <c r="Q50" s="49" t="n"/>
      <c r="R50" s="54" t="inlineStr">
        <is>
          <t>S</t>
        </is>
      </c>
      <c r="S50" s="49" t="n"/>
      <c r="T50" s="54" t="n"/>
      <c r="U50" s="49" t="n"/>
      <c r="V50" s="54" t="n"/>
      <c r="W50" s="49" t="n"/>
      <c r="X50" s="53" t="inlineStr">
        <is>
          <t>GENERATED ALWAYS AS IDENTITY</t>
        </is>
      </c>
      <c r="Y50" s="49" t="n"/>
    </row>
    <row r="51" ht="30" customHeight="1" s="38">
      <c r="A51" s="52" t="n">
        <v>2</v>
      </c>
      <c r="B51" s="53" t="inlineStr">
        <is>
          <t>id_tipo_usuario</t>
        </is>
      </c>
      <c r="C51" s="53" t="inlineStr">
        <is>
          <t>Tipo de usuario (vínculo con la Institución)</t>
        </is>
      </c>
      <c r="D51" s="48" t="n"/>
      <c r="E51" s="48" t="n"/>
      <c r="F51" s="49" t="n"/>
      <c r="G51" s="54" t="inlineStr">
        <is>
          <t>SMALLINT</t>
        </is>
      </c>
      <c r="H51" s="48" t="n"/>
      <c r="I51" s="48" t="n"/>
      <c r="J51" s="49" t="n"/>
      <c r="K51" s="54" t="inlineStr">
        <is>
          <t>2 bytes</t>
        </is>
      </c>
      <c r="L51" s="48" t="n"/>
      <c r="M51" s="48" t="n"/>
      <c r="N51" s="49" t="n"/>
      <c r="O51" s="54" t="inlineStr">
        <is>
          <t>No</t>
        </is>
      </c>
      <c r="P51" s="48" t="n"/>
      <c r="Q51" s="49" t="n"/>
      <c r="R51" s="54" t="n"/>
      <c r="S51" s="49" t="n"/>
      <c r="T51" s="54" t="inlineStr">
        <is>
          <t>S</t>
        </is>
      </c>
      <c r="U51" s="49" t="n"/>
      <c r="V51" s="54" t="n"/>
      <c r="W51" s="49" t="n"/>
      <c r="X51" s="53" t="inlineStr">
        <is>
          <t>Ref. tipo_usuario(id_tipo_usuario) ON DELETE RESTRICT ON UPDATE CASCADE</t>
        </is>
      </c>
      <c r="Y51" s="49" t="n"/>
    </row>
    <row r="52" ht="30" customHeight="1" s="38">
      <c r="A52" s="52" t="n">
        <v>3</v>
      </c>
      <c r="B52" s="53" t="inlineStr">
        <is>
          <t>id_rol</t>
        </is>
      </c>
      <c r="C52" s="53" t="inlineStr">
        <is>
          <t>Rol de permisos en la Red</t>
        </is>
      </c>
      <c r="D52" s="48" t="n"/>
      <c r="E52" s="48" t="n"/>
      <c r="F52" s="49" t="n"/>
      <c r="G52" s="54" t="inlineStr">
        <is>
          <t>SMALLINT</t>
        </is>
      </c>
      <c r="H52" s="48" t="n"/>
      <c r="I52" s="48" t="n"/>
      <c r="J52" s="49" t="n"/>
      <c r="K52" s="54" t="inlineStr">
        <is>
          <t>2 bytes</t>
        </is>
      </c>
      <c r="L52" s="48" t="n"/>
      <c r="M52" s="48" t="n"/>
      <c r="N52" s="49" t="n"/>
      <c r="O52" s="54" t="inlineStr">
        <is>
          <t>No</t>
        </is>
      </c>
      <c r="P52" s="48" t="n"/>
      <c r="Q52" s="49" t="n"/>
      <c r="R52" s="54" t="n"/>
      <c r="S52" s="49" t="n"/>
      <c r="T52" s="54" t="inlineStr">
        <is>
          <t>S</t>
        </is>
      </c>
      <c r="U52" s="49" t="n"/>
      <c r="V52" s="54" t="n"/>
      <c r="W52" s="49" t="n"/>
      <c r="X52" s="53" t="inlineStr">
        <is>
          <t>Ref. rol(id_rol) ON DELETE RESTRICT ON UPDATE CASCADE</t>
        </is>
      </c>
      <c r="Y52" s="49" t="n"/>
    </row>
    <row r="53" ht="30" customHeight="1" s="38">
      <c r="A53" s="52" t="n">
        <v>4</v>
      </c>
      <c r="B53" s="53" t="inlineStr">
        <is>
          <t>numero_documento</t>
        </is>
      </c>
      <c r="C53" s="53" t="inlineStr">
        <is>
          <t>Documento de identidad</t>
        </is>
      </c>
      <c r="D53" s="48" t="n"/>
      <c r="E53" s="48" t="n"/>
      <c r="F53" s="49" t="n"/>
      <c r="G53" s="54" t="inlineStr">
        <is>
          <t>VARCHAR</t>
        </is>
      </c>
      <c r="H53" s="48" t="n"/>
      <c r="I53" s="48" t="n"/>
      <c r="J53" s="49" t="n"/>
      <c r="K53" s="54" t="inlineStr">
        <is>
          <t>20</t>
        </is>
      </c>
      <c r="L53" s="48" t="n"/>
      <c r="M53" s="48" t="n"/>
      <c r="N53" s="49" t="n"/>
      <c r="O53" s="54" t="inlineStr">
        <is>
          <t>No</t>
        </is>
      </c>
      <c r="P53" s="48" t="n"/>
      <c r="Q53" s="49" t="n"/>
      <c r="R53" s="54" t="n"/>
      <c r="S53" s="49" t="n"/>
      <c r="T53" s="54" t="n"/>
      <c r="U53" s="49" t="n"/>
      <c r="V53" s="54" t="inlineStr">
        <is>
          <t>S</t>
        </is>
      </c>
      <c r="W53" s="49" t="n"/>
      <c r="X53" s="53" t="n"/>
      <c r="Y53" s="49" t="n"/>
    </row>
    <row r="54" ht="30" customHeight="1" s="38">
      <c r="A54" s="52" t="n">
        <v>5</v>
      </c>
      <c r="B54" s="53" t="inlineStr">
        <is>
          <t>nombres_usuario</t>
        </is>
      </c>
      <c r="C54" s="53" t="inlineStr">
        <is>
          <t>Nombres de la persona</t>
        </is>
      </c>
      <c r="D54" s="48" t="n"/>
      <c r="E54" s="48" t="n"/>
      <c r="F54" s="49" t="n"/>
      <c r="G54" s="54" t="inlineStr">
        <is>
          <t>VARCHAR</t>
        </is>
      </c>
      <c r="H54" s="48" t="n"/>
      <c r="I54" s="48" t="n"/>
      <c r="J54" s="49" t="n"/>
      <c r="K54" s="54" t="inlineStr">
        <is>
          <t>60</t>
        </is>
      </c>
      <c r="L54" s="48" t="n"/>
      <c r="M54" s="48" t="n"/>
      <c r="N54" s="49" t="n"/>
      <c r="O54" s="54" t="inlineStr">
        <is>
          <t>No</t>
        </is>
      </c>
      <c r="P54" s="48" t="n"/>
      <c r="Q54" s="49" t="n"/>
      <c r="R54" s="54" t="n"/>
      <c r="S54" s="49" t="n"/>
      <c r="T54" s="54" t="n"/>
      <c r="U54" s="49" t="n"/>
      <c r="V54" s="54" t="n"/>
      <c r="W54" s="49" t="n"/>
      <c r="X54" s="53" t="n"/>
      <c r="Y54" s="49" t="n"/>
    </row>
    <row r="55" ht="30" customHeight="1" s="38">
      <c r="A55" s="52" t="n">
        <v>6</v>
      </c>
      <c r="B55" s="53" t="inlineStr">
        <is>
          <t>apellidos_usuario</t>
        </is>
      </c>
      <c r="C55" s="53" t="inlineStr">
        <is>
          <t>Apellidos de la persona</t>
        </is>
      </c>
      <c r="D55" s="48" t="n"/>
      <c r="E55" s="48" t="n"/>
      <c r="F55" s="49" t="n"/>
      <c r="G55" s="54" t="inlineStr">
        <is>
          <t>VARCHAR</t>
        </is>
      </c>
      <c r="H55" s="48" t="n"/>
      <c r="I55" s="48" t="n"/>
      <c r="J55" s="49" t="n"/>
      <c r="K55" s="54" t="inlineStr">
        <is>
          <t>60</t>
        </is>
      </c>
      <c r="L55" s="48" t="n"/>
      <c r="M55" s="48" t="n"/>
      <c r="N55" s="49" t="n"/>
      <c r="O55" s="54" t="inlineStr">
        <is>
          <t>No</t>
        </is>
      </c>
      <c r="P55" s="48" t="n"/>
      <c r="Q55" s="49" t="n"/>
      <c r="R55" s="54" t="n"/>
      <c r="S55" s="49" t="n"/>
      <c r="T55" s="54" t="n"/>
      <c r="U55" s="49" t="n"/>
      <c r="V55" s="54" t="n"/>
      <c r="W55" s="49" t="n"/>
      <c r="X55" s="53" t="n"/>
      <c r="Y55" s="49" t="n"/>
    </row>
    <row r="56" ht="30" customHeight="1" s="38">
      <c r="A56" s="52" t="n">
        <v>7</v>
      </c>
      <c r="B56" s="53" t="inlineStr">
        <is>
          <t>correo_electronico</t>
        </is>
      </c>
      <c r="C56" s="53" t="inlineStr">
        <is>
          <t>Correo de contacto, no repetible</t>
        </is>
      </c>
      <c r="D56" s="48" t="n"/>
      <c r="E56" s="48" t="n"/>
      <c r="F56" s="49" t="n"/>
      <c r="G56" s="54" t="inlineStr">
        <is>
          <t>VARCHAR</t>
        </is>
      </c>
      <c r="H56" s="48" t="n"/>
      <c r="I56" s="48" t="n"/>
      <c r="J56" s="49" t="n"/>
      <c r="K56" s="54" t="inlineStr">
        <is>
          <t>120</t>
        </is>
      </c>
      <c r="L56" s="48" t="n"/>
      <c r="M56" s="48" t="n"/>
      <c r="N56" s="49" t="n"/>
      <c r="O56" s="54" t="inlineStr">
        <is>
          <t>No</t>
        </is>
      </c>
      <c r="P56" s="48" t="n"/>
      <c r="Q56" s="49" t="n"/>
      <c r="R56" s="54" t="n"/>
      <c r="S56" s="49" t="n"/>
      <c r="T56" s="54" t="n"/>
      <c r="U56" s="49" t="n"/>
      <c r="V56" s="54" t="inlineStr">
        <is>
          <t>S</t>
        </is>
      </c>
      <c r="W56" s="49" t="n"/>
      <c r="X56" s="53" t="inlineStr">
        <is>
          <t>CHECK (correo_electronico)~~ '%_@_%._%')</t>
        </is>
      </c>
      <c r="Y56" s="49" t="n"/>
    </row>
    <row r="57" ht="30" customHeight="1" s="38">
      <c r="A57" s="52" t="n">
        <v>8</v>
      </c>
      <c r="B57" s="53" t="inlineStr">
        <is>
          <t>telefono_usuario</t>
        </is>
      </c>
      <c r="C57" s="53" t="inlineStr">
        <is>
          <t>Teléfono de contacto</t>
        </is>
      </c>
      <c r="D57" s="48" t="n"/>
      <c r="E57" s="48" t="n"/>
      <c r="F57" s="49" t="n"/>
      <c r="G57" s="54" t="inlineStr">
        <is>
          <t>VARCHAR</t>
        </is>
      </c>
      <c r="H57" s="48" t="n"/>
      <c r="I57" s="48" t="n"/>
      <c r="J57" s="49" t="n"/>
      <c r="K57" s="54" t="inlineStr">
        <is>
          <t>15</t>
        </is>
      </c>
      <c r="L57" s="48" t="n"/>
      <c r="M57" s="48" t="n"/>
      <c r="N57" s="49" t="n"/>
      <c r="O57" s="54" t="inlineStr">
        <is>
          <t>Sí</t>
        </is>
      </c>
      <c r="P57" s="48" t="n"/>
      <c r="Q57" s="49" t="n"/>
      <c r="R57" s="54" t="n"/>
      <c r="S57" s="49" t="n"/>
      <c r="T57" s="54" t="n"/>
      <c r="U57" s="49" t="n"/>
      <c r="V57" s="54" t="n"/>
      <c r="W57" s="49" t="n"/>
      <c r="X57" s="53" t="n"/>
      <c r="Y57" s="49" t="n"/>
    </row>
    <row r="58" ht="30" customHeight="1" s="38">
      <c r="A58" s="52" t="n">
        <v>9</v>
      </c>
      <c r="B58" s="53" t="inlineStr">
        <is>
          <t>fecha_nacimiento</t>
        </is>
      </c>
      <c r="C58" s="53" t="inlineStr">
        <is>
          <t>Fecha de nacimiento (análisis demográfico)</t>
        </is>
      </c>
      <c r="D58" s="48" t="n"/>
      <c r="E58" s="48" t="n"/>
      <c r="F58" s="49" t="n"/>
      <c r="G58" s="54" t="inlineStr">
        <is>
          <t>DATE</t>
        </is>
      </c>
      <c r="H58" s="48" t="n"/>
      <c r="I58" s="48" t="n"/>
      <c r="J58" s="49" t="n"/>
      <c r="K58" s="54" t="inlineStr">
        <is>
          <t>4 bytes</t>
        </is>
      </c>
      <c r="L58" s="48" t="n"/>
      <c r="M58" s="48" t="n"/>
      <c r="N58" s="49" t="n"/>
      <c r="O58" s="54" t="inlineStr">
        <is>
          <t>Sí</t>
        </is>
      </c>
      <c r="P58" s="48" t="n"/>
      <c r="Q58" s="49" t="n"/>
      <c r="R58" s="54" t="n"/>
      <c r="S58" s="49" t="n"/>
      <c r="T58" s="54" t="n"/>
      <c r="U58" s="49" t="n"/>
      <c r="V58" s="54" t="n"/>
      <c r="W58" s="49" t="n"/>
      <c r="X58" s="53" t="inlineStr">
        <is>
          <t>CHECK (fecha_nacimiento &lt; CURRENT_DATE)</t>
        </is>
      </c>
      <c r="Y58" s="49" t="n"/>
    </row>
    <row r="59" ht="30" customHeight="1" s="38">
      <c r="A59" s="52" t="n">
        <v>10</v>
      </c>
      <c r="B59" s="53" t="inlineStr">
        <is>
          <t>fecha_registro</t>
        </is>
      </c>
      <c r="C59" s="53" t="inlineStr">
        <is>
          <t>Fecha y hora de registro en la Red</t>
        </is>
      </c>
      <c r="D59" s="48" t="n"/>
      <c r="E59" s="48" t="n"/>
      <c r="F59" s="49" t="n"/>
      <c r="G59" s="54" t="inlineStr">
        <is>
          <t>TIMESTAMP</t>
        </is>
      </c>
      <c r="H59" s="48" t="n"/>
      <c r="I59" s="48" t="n"/>
      <c r="J59" s="49" t="n"/>
      <c r="K59" s="54" t="inlineStr">
        <is>
          <t>8 bytes</t>
        </is>
      </c>
      <c r="L59" s="48" t="n"/>
      <c r="M59" s="48" t="n"/>
      <c r="N59" s="49" t="n"/>
      <c r="O59" s="54" t="inlineStr">
        <is>
          <t>No</t>
        </is>
      </c>
      <c r="P59" s="48" t="n"/>
      <c r="Q59" s="49" t="n"/>
      <c r="R59" s="54" t="n"/>
      <c r="S59" s="49" t="n"/>
      <c r="T59" s="54" t="n"/>
      <c r="U59" s="49" t="n"/>
      <c r="V59" s="54" t="n"/>
      <c r="W59" s="49" t="n"/>
      <c r="X59" s="53" t="inlineStr">
        <is>
          <t>DEFAULT CURRENT_TIMESTAMP</t>
        </is>
      </c>
      <c r="Y59" s="49" t="n"/>
    </row>
    <row r="60" ht="30" customHeight="1" s="38">
      <c r="A60" s="52" t="n">
        <v>11</v>
      </c>
      <c r="B60" s="53" t="inlineStr">
        <is>
          <t>estado_usuario</t>
        </is>
      </c>
      <c r="C60" s="53" t="inlineStr">
        <is>
          <t>Estado: activo, inactivo o suspendido</t>
        </is>
      </c>
      <c r="D60" s="48" t="n"/>
      <c r="E60" s="48" t="n"/>
      <c r="F60" s="49" t="n"/>
      <c r="G60" s="54" t="inlineStr">
        <is>
          <t>VARCHAR</t>
        </is>
      </c>
      <c r="H60" s="48" t="n"/>
      <c r="I60" s="48" t="n"/>
      <c r="J60" s="49" t="n"/>
      <c r="K60" s="54" t="inlineStr">
        <is>
          <t>12</t>
        </is>
      </c>
      <c r="L60" s="48" t="n"/>
      <c r="M60" s="48" t="n"/>
      <c r="N60" s="49" t="n"/>
      <c r="O60" s="54" t="inlineStr">
        <is>
          <t>No</t>
        </is>
      </c>
      <c r="P60" s="48" t="n"/>
      <c r="Q60" s="49" t="n"/>
      <c r="R60" s="54" t="n"/>
      <c r="S60" s="49" t="n"/>
      <c r="T60" s="54" t="n"/>
      <c r="U60" s="49" t="n"/>
      <c r="V60" s="54" t="n"/>
      <c r="W60" s="49" t="n"/>
      <c r="X60" s="53" t="inlineStr">
        <is>
          <t>DEFAULT 'activo'; CHECK (estado_usuario)IN ('activo', 'inactivo', 'suspendido')</t>
        </is>
      </c>
      <c r="Y60" s="49" t="n"/>
    </row>
    <row r="61" ht="15.75" customHeight="1" s="38"/>
    <row r="62" ht="15.75" customHeight="1" s="38"/>
    <row r="63" ht="32" customHeight="1" s="38">
      <c r="A63" s="24" t="n">
        <v>4</v>
      </c>
      <c r="B63" s="30" t="inlineStr">
        <is>
          <t>Tabla</t>
        </is>
      </c>
      <c r="C63" s="29">
        <f>B7</f>
        <v/>
      </c>
      <c r="D63" s="48" t="n"/>
      <c r="E63" s="48" t="n"/>
      <c r="F63" s="49" t="n"/>
      <c r="G63" s="28" t="inlineStr">
        <is>
          <t>Descripción Tabla</t>
        </is>
      </c>
      <c r="H63" s="48" t="n"/>
      <c r="I63" s="48" t="n"/>
      <c r="J63" s="49" t="n"/>
      <c r="K63" s="51">
        <f>F7</f>
        <v/>
      </c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9" t="n"/>
      <c r="X63" s="28" t="inlineStr">
        <is>
          <t>Versión</t>
        </is>
      </c>
      <c r="Y63" s="29" t="inlineStr">
        <is>
          <t>3.0</t>
        </is>
      </c>
    </row>
    <row r="64" ht="41.25" customHeight="1" s="38">
      <c r="A64" s="28" t="inlineStr">
        <is>
          <t>#</t>
        </is>
      </c>
      <c r="B64" s="28" t="inlineStr">
        <is>
          <t>Campo</t>
        </is>
      </c>
      <c r="C64" s="28" t="inlineStr">
        <is>
          <t>Descripción Campo</t>
        </is>
      </c>
      <c r="D64" s="48" t="n"/>
      <c r="E64" s="48" t="n"/>
      <c r="F64" s="49" t="n"/>
      <c r="G64" s="28" t="inlineStr">
        <is>
          <t>Tipo Dato
(PostgreSQL)</t>
        </is>
      </c>
      <c r="H64" s="48" t="n"/>
      <c r="I64" s="48" t="n"/>
      <c r="J64" s="49" t="n"/>
      <c r="K64" s="28" t="inlineStr">
        <is>
          <t>Tamaño / Longitud</t>
        </is>
      </c>
      <c r="L64" s="48" t="n"/>
      <c r="M64" s="48" t="n"/>
      <c r="N64" s="49" t="n"/>
      <c r="O64" s="28" t="inlineStr">
        <is>
          <t>Nulo</t>
        </is>
      </c>
      <c r="P64" s="48" t="n"/>
      <c r="Q64" s="49" t="n"/>
      <c r="R64" s="28" t="inlineStr">
        <is>
          <t>PK</t>
        </is>
      </c>
      <c r="S64" s="49" t="n"/>
      <c r="T64" s="28" t="inlineStr">
        <is>
          <t>FK</t>
        </is>
      </c>
      <c r="U64" s="49" t="n"/>
      <c r="V64" s="28" t="inlineStr">
        <is>
          <t>UK</t>
        </is>
      </c>
      <c r="W64" s="49" t="n"/>
      <c r="X64" s="28" t="inlineStr">
        <is>
          <t>Nota/Comentarios</t>
        </is>
      </c>
      <c r="Y64" s="49" t="n"/>
    </row>
    <row r="65" ht="30" customHeight="1" s="38">
      <c r="A65" s="52" t="n">
        <v>1</v>
      </c>
      <c r="B65" s="53" t="inlineStr">
        <is>
          <t>id_usuario</t>
        </is>
      </c>
      <c r="C65" s="53" t="inlineStr">
        <is>
          <t>Usuario dueño de la cuenta (PK y FK, relación 1:1)</t>
        </is>
      </c>
      <c r="D65" s="48" t="n"/>
      <c r="E65" s="48" t="n"/>
      <c r="F65" s="49" t="n"/>
      <c r="G65" s="54" t="inlineStr">
        <is>
          <t>INTEGER</t>
        </is>
      </c>
      <c r="H65" s="48" t="n"/>
      <c r="I65" s="48" t="n"/>
      <c r="J65" s="49" t="n"/>
      <c r="K65" s="54" t="inlineStr">
        <is>
          <t>4 bytes</t>
        </is>
      </c>
      <c r="L65" s="48" t="n"/>
      <c r="M65" s="48" t="n"/>
      <c r="N65" s="49" t="n"/>
      <c r="O65" s="54" t="inlineStr">
        <is>
          <t>No</t>
        </is>
      </c>
      <c r="P65" s="48" t="n"/>
      <c r="Q65" s="49" t="n"/>
      <c r="R65" s="54" t="inlineStr">
        <is>
          <t>S</t>
        </is>
      </c>
      <c r="S65" s="49" t="n"/>
      <c r="T65" s="54" t="inlineStr">
        <is>
          <t>S</t>
        </is>
      </c>
      <c r="U65" s="49" t="n"/>
      <c r="V65" s="54" t="n"/>
      <c r="W65" s="49" t="n"/>
      <c r="X65" s="53" t="inlineStr">
        <is>
          <t>Ref. usuario(id_usuario) ON DELETE CASCADE ON UPDATE CASCADE</t>
        </is>
      </c>
      <c r="Y65" s="49" t="n"/>
    </row>
    <row r="66" ht="30" customHeight="1" s="38">
      <c r="A66" s="52" t="n">
        <v>2</v>
      </c>
      <c r="B66" s="53" t="inlineStr">
        <is>
          <t>nombre_cuenta</t>
        </is>
      </c>
      <c r="C66" s="53" t="inlineStr">
        <is>
          <t>Nombre de usuario para iniciar sesión</t>
        </is>
      </c>
      <c r="D66" s="48" t="n"/>
      <c r="E66" s="48" t="n"/>
      <c r="F66" s="49" t="n"/>
      <c r="G66" s="54" t="inlineStr">
        <is>
          <t>VARCHAR</t>
        </is>
      </c>
      <c r="H66" s="48" t="n"/>
      <c r="I66" s="48" t="n"/>
      <c r="J66" s="49" t="n"/>
      <c r="K66" s="54" t="inlineStr">
        <is>
          <t>30</t>
        </is>
      </c>
      <c r="L66" s="48" t="n"/>
      <c r="M66" s="48" t="n"/>
      <c r="N66" s="49" t="n"/>
      <c r="O66" s="54" t="inlineStr">
        <is>
          <t>No</t>
        </is>
      </c>
      <c r="P66" s="48" t="n"/>
      <c r="Q66" s="49" t="n"/>
      <c r="R66" s="54" t="n"/>
      <c r="S66" s="49" t="n"/>
      <c r="T66" s="54" t="n"/>
      <c r="U66" s="49" t="n"/>
      <c r="V66" s="54" t="inlineStr">
        <is>
          <t>S</t>
        </is>
      </c>
      <c r="W66" s="49" t="n"/>
      <c r="X66" s="53" t="n"/>
      <c r="Y66" s="49" t="n"/>
    </row>
    <row r="67" ht="30" customHeight="1" s="38">
      <c r="A67" s="52" t="n">
        <v>3</v>
      </c>
      <c r="B67" s="53" t="inlineStr">
        <is>
          <t>clave_cifrada</t>
        </is>
      </c>
      <c r="C67" s="53" t="inlineStr">
        <is>
          <t>Hash de la contraseña (nunca texto plano)</t>
        </is>
      </c>
      <c r="D67" s="48" t="n"/>
      <c r="E67" s="48" t="n"/>
      <c r="F67" s="49" t="n"/>
      <c r="G67" s="54" t="inlineStr">
        <is>
          <t>VARCHAR</t>
        </is>
      </c>
      <c r="H67" s="48" t="n"/>
      <c r="I67" s="48" t="n"/>
      <c r="J67" s="49" t="n"/>
      <c r="K67" s="54" t="inlineStr">
        <is>
          <t>255</t>
        </is>
      </c>
      <c r="L67" s="48" t="n"/>
      <c r="M67" s="48" t="n"/>
      <c r="N67" s="49" t="n"/>
      <c r="O67" s="54" t="inlineStr">
        <is>
          <t>No</t>
        </is>
      </c>
      <c r="P67" s="48" t="n"/>
      <c r="Q67" s="49" t="n"/>
      <c r="R67" s="54" t="n"/>
      <c r="S67" s="49" t="n"/>
      <c r="T67" s="54" t="n"/>
      <c r="U67" s="49" t="n"/>
      <c r="V67" s="54" t="n"/>
      <c r="W67" s="49" t="n"/>
      <c r="X67" s="53" t="n"/>
      <c r="Y67" s="49" t="n"/>
    </row>
    <row r="68" ht="30" customHeight="1" s="38">
      <c r="A68" s="52" t="n">
        <v>4</v>
      </c>
      <c r="B68" s="53" t="inlineStr">
        <is>
          <t>estado_cuenta</t>
        </is>
      </c>
      <c r="C68" s="53" t="inlineStr">
        <is>
          <t>Estado: activa, bloqueada o pendiente</t>
        </is>
      </c>
      <c r="D68" s="48" t="n"/>
      <c r="E68" s="48" t="n"/>
      <c r="F68" s="49" t="n"/>
      <c r="G68" s="54" t="inlineStr">
        <is>
          <t>VARCHAR</t>
        </is>
      </c>
      <c r="H68" s="48" t="n"/>
      <c r="I68" s="48" t="n"/>
      <c r="J68" s="49" t="n"/>
      <c r="K68" s="54" t="inlineStr">
        <is>
          <t>12</t>
        </is>
      </c>
      <c r="L68" s="48" t="n"/>
      <c r="M68" s="48" t="n"/>
      <c r="N68" s="49" t="n"/>
      <c r="O68" s="54" t="inlineStr">
        <is>
          <t>No</t>
        </is>
      </c>
      <c r="P68" s="48" t="n"/>
      <c r="Q68" s="49" t="n"/>
      <c r="R68" s="54" t="n"/>
      <c r="S68" s="49" t="n"/>
      <c r="T68" s="54" t="n"/>
      <c r="U68" s="49" t="n"/>
      <c r="V68" s="54" t="n"/>
      <c r="W68" s="49" t="n"/>
      <c r="X68" s="53" t="inlineStr">
        <is>
          <t>DEFAULT 'pendiente'; CHECK (estado_cuenta)IN ('activa', 'bloqueada', 'pendiente')</t>
        </is>
      </c>
      <c r="Y68" s="49" t="n"/>
    </row>
    <row r="69" ht="30" customHeight="1" s="38">
      <c r="A69" s="52" t="n">
        <v>5</v>
      </c>
      <c r="B69" s="53" t="inlineStr">
        <is>
          <t>fecha_ultimo_acceso</t>
        </is>
      </c>
      <c r="C69" s="53" t="inlineStr">
        <is>
          <t>Fecha y hora del último ingreso exitoso</t>
        </is>
      </c>
      <c r="D69" s="48" t="n"/>
      <c r="E69" s="48" t="n"/>
      <c r="F69" s="49" t="n"/>
      <c r="G69" s="54" t="inlineStr">
        <is>
          <t>TIMESTAMP</t>
        </is>
      </c>
      <c r="H69" s="48" t="n"/>
      <c r="I69" s="48" t="n"/>
      <c r="J69" s="49" t="n"/>
      <c r="K69" s="54" t="inlineStr">
        <is>
          <t>8 bytes</t>
        </is>
      </c>
      <c r="L69" s="48" t="n"/>
      <c r="M69" s="48" t="n"/>
      <c r="N69" s="49" t="n"/>
      <c r="O69" s="54" t="inlineStr">
        <is>
          <t>Sí</t>
        </is>
      </c>
      <c r="P69" s="48" t="n"/>
      <c r="Q69" s="49" t="n"/>
      <c r="R69" s="54" t="n"/>
      <c r="S69" s="49" t="n"/>
      <c r="T69" s="54" t="n"/>
      <c r="U69" s="49" t="n"/>
      <c r="V69" s="54" t="n"/>
      <c r="W69" s="49" t="n"/>
      <c r="X69" s="53" t="n"/>
      <c r="Y69" s="49" t="n"/>
    </row>
    <row r="70" ht="30" customHeight="1" s="38">
      <c r="A70" s="52" t="n">
        <v>6</v>
      </c>
      <c r="B70" s="53" t="inlineStr">
        <is>
          <t>intentos_fallidos</t>
        </is>
      </c>
      <c r="C70" s="53" t="inlineStr">
        <is>
          <t>Intentos fallidos consecutivos de acceso</t>
        </is>
      </c>
      <c r="D70" s="48" t="n"/>
      <c r="E70" s="48" t="n"/>
      <c r="F70" s="49" t="n"/>
      <c r="G70" s="54" t="inlineStr">
        <is>
          <t>SMALLINT</t>
        </is>
      </c>
      <c r="H70" s="48" t="n"/>
      <c r="I70" s="48" t="n"/>
      <c r="J70" s="49" t="n"/>
      <c r="K70" s="54" t="inlineStr">
        <is>
          <t>2 bytes</t>
        </is>
      </c>
      <c r="L70" s="48" t="n"/>
      <c r="M70" s="48" t="n"/>
      <c r="N70" s="49" t="n"/>
      <c r="O70" s="54" t="inlineStr">
        <is>
          <t>No</t>
        </is>
      </c>
      <c r="P70" s="48" t="n"/>
      <c r="Q70" s="49" t="n"/>
      <c r="R70" s="54" t="n"/>
      <c r="S70" s="49" t="n"/>
      <c r="T70" s="54" t="n"/>
      <c r="U70" s="49" t="n"/>
      <c r="V70" s="54" t="n"/>
      <c r="W70" s="49" t="n"/>
      <c r="X70" s="53" t="inlineStr">
        <is>
          <t>DEFAULT 0; CHECK (intentos_fallidos &gt;= 0)</t>
        </is>
      </c>
      <c r="Y70" s="49" t="n"/>
    </row>
    <row r="71" ht="15.75" customHeight="1" s="38"/>
    <row r="72" ht="15.75" customHeight="1" s="38"/>
    <row r="73" ht="32" customHeight="1" s="38">
      <c r="A73" s="24" t="n">
        <v>5</v>
      </c>
      <c r="B73" s="30" t="inlineStr">
        <is>
          <t>Tabla</t>
        </is>
      </c>
      <c r="C73" s="29">
        <f>B8</f>
        <v/>
      </c>
      <c r="D73" s="48" t="n"/>
      <c r="E73" s="48" t="n"/>
      <c r="F73" s="49" t="n"/>
      <c r="G73" s="28" t="inlineStr">
        <is>
          <t>Descripción Tabla</t>
        </is>
      </c>
      <c r="H73" s="48" t="n"/>
      <c r="I73" s="48" t="n"/>
      <c r="J73" s="49" t="n"/>
      <c r="K73" s="51">
        <f>F8</f>
        <v/>
      </c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9" t="n"/>
      <c r="X73" s="28" t="inlineStr">
        <is>
          <t>Versión</t>
        </is>
      </c>
      <c r="Y73" s="29" t="inlineStr">
        <is>
          <t>3.0</t>
        </is>
      </c>
    </row>
    <row r="74" ht="41.25" customHeight="1" s="38">
      <c r="A74" s="28" t="inlineStr">
        <is>
          <t>#</t>
        </is>
      </c>
      <c r="B74" s="28" t="inlineStr">
        <is>
          <t>Campo</t>
        </is>
      </c>
      <c r="C74" s="28" t="inlineStr">
        <is>
          <t>Descripción Campo</t>
        </is>
      </c>
      <c r="D74" s="48" t="n"/>
      <c r="E74" s="48" t="n"/>
      <c r="F74" s="49" t="n"/>
      <c r="G74" s="28" t="inlineStr">
        <is>
          <t>Tipo Dato
(PostgreSQL)</t>
        </is>
      </c>
      <c r="H74" s="48" t="n"/>
      <c r="I74" s="48" t="n"/>
      <c r="J74" s="49" t="n"/>
      <c r="K74" s="28" t="inlineStr">
        <is>
          <t>Tamaño / Longitud</t>
        </is>
      </c>
      <c r="L74" s="48" t="n"/>
      <c r="M74" s="48" t="n"/>
      <c r="N74" s="49" t="n"/>
      <c r="O74" s="28" t="inlineStr">
        <is>
          <t>Nulo</t>
        </is>
      </c>
      <c r="P74" s="48" t="n"/>
      <c r="Q74" s="49" t="n"/>
      <c r="R74" s="28" t="inlineStr">
        <is>
          <t>PK</t>
        </is>
      </c>
      <c r="S74" s="49" t="n"/>
      <c r="T74" s="28" t="inlineStr">
        <is>
          <t>FK</t>
        </is>
      </c>
      <c r="U74" s="49" t="n"/>
      <c r="V74" s="28" t="inlineStr">
        <is>
          <t>UK</t>
        </is>
      </c>
      <c r="W74" s="49" t="n"/>
      <c r="X74" s="28" t="inlineStr">
        <is>
          <t>Nota/Comentarios</t>
        </is>
      </c>
      <c r="Y74" s="49" t="n"/>
    </row>
    <row r="75" ht="30" customHeight="1" s="38">
      <c r="A75" s="52" t="n">
        <v>1</v>
      </c>
      <c r="B75" s="53" t="inlineStr">
        <is>
          <t>id_grupo</t>
        </is>
      </c>
      <c r="C75" s="53" t="inlineStr">
        <is>
          <t>Identificador único del grupo</t>
        </is>
      </c>
      <c r="D75" s="48" t="n"/>
      <c r="E75" s="48" t="n"/>
      <c r="F75" s="49" t="n"/>
      <c r="G75" s="54" t="inlineStr">
        <is>
          <t>INTEGER</t>
        </is>
      </c>
      <c r="H75" s="48" t="n"/>
      <c r="I75" s="48" t="n"/>
      <c r="J75" s="49" t="n"/>
      <c r="K75" s="54" t="inlineStr">
        <is>
          <t>4 bytes</t>
        </is>
      </c>
      <c r="L75" s="48" t="n"/>
      <c r="M75" s="48" t="n"/>
      <c r="N75" s="49" t="n"/>
      <c r="O75" s="54" t="inlineStr">
        <is>
          <t>No</t>
        </is>
      </c>
      <c r="P75" s="48" t="n"/>
      <c r="Q75" s="49" t="n"/>
      <c r="R75" s="54" t="inlineStr">
        <is>
          <t>S</t>
        </is>
      </c>
      <c r="S75" s="49" t="n"/>
      <c r="T75" s="54" t="n"/>
      <c r="U75" s="49" t="n"/>
      <c r="V75" s="54" t="n"/>
      <c r="W75" s="49" t="n"/>
      <c r="X75" s="53" t="inlineStr">
        <is>
          <t>GENERATED ALWAYS AS IDENTITY</t>
        </is>
      </c>
      <c r="Y75" s="49" t="n"/>
    </row>
    <row r="76" ht="30" customHeight="1" s="38">
      <c r="A76" s="52" t="n">
        <v>2</v>
      </c>
      <c r="B76" s="53" t="inlineStr">
        <is>
          <t>nombre_grupo</t>
        </is>
      </c>
      <c r="C76" s="53" t="inlineStr">
        <is>
          <t>Nombre del grupo, no repetible</t>
        </is>
      </c>
      <c r="D76" s="48" t="n"/>
      <c r="E76" s="48" t="n"/>
      <c r="F76" s="49" t="n"/>
      <c r="G76" s="54" t="inlineStr">
        <is>
          <t>VARCHAR</t>
        </is>
      </c>
      <c r="H76" s="48" t="n"/>
      <c r="I76" s="48" t="n"/>
      <c r="J76" s="49" t="n"/>
      <c r="K76" s="54" t="inlineStr">
        <is>
          <t>80</t>
        </is>
      </c>
      <c r="L76" s="48" t="n"/>
      <c r="M76" s="48" t="n"/>
      <c r="N76" s="49" t="n"/>
      <c r="O76" s="54" t="inlineStr">
        <is>
          <t>No</t>
        </is>
      </c>
      <c r="P76" s="48" t="n"/>
      <c r="Q76" s="49" t="n"/>
      <c r="R76" s="54" t="n"/>
      <c r="S76" s="49" t="n"/>
      <c r="T76" s="54" t="n"/>
      <c r="U76" s="49" t="n"/>
      <c r="V76" s="54" t="inlineStr">
        <is>
          <t>S</t>
        </is>
      </c>
      <c r="W76" s="49" t="n"/>
      <c r="X76" s="53" t="n"/>
      <c r="Y76" s="49" t="n"/>
    </row>
    <row r="77" ht="30" customHeight="1" s="38">
      <c r="A77" s="52" t="n">
        <v>3</v>
      </c>
      <c r="B77" s="53" t="inlineStr">
        <is>
          <t>descripcion_grupo</t>
        </is>
      </c>
      <c r="C77" s="53" t="inlineStr">
        <is>
          <t>Propósito e intereses del grupo</t>
        </is>
      </c>
      <c r="D77" s="48" t="n"/>
      <c r="E77" s="48" t="n"/>
      <c r="F77" s="49" t="n"/>
      <c r="G77" s="54" t="inlineStr">
        <is>
          <t>VARCHAR</t>
        </is>
      </c>
      <c r="H77" s="48" t="n"/>
      <c r="I77" s="48" t="n"/>
      <c r="J77" s="49" t="n"/>
      <c r="K77" s="54" t="inlineStr">
        <is>
          <t>500</t>
        </is>
      </c>
      <c r="L77" s="48" t="n"/>
      <c r="M77" s="48" t="n"/>
      <c r="N77" s="49" t="n"/>
      <c r="O77" s="54" t="inlineStr">
        <is>
          <t>Sí</t>
        </is>
      </c>
      <c r="P77" s="48" t="n"/>
      <c r="Q77" s="49" t="n"/>
      <c r="R77" s="54" t="n"/>
      <c r="S77" s="49" t="n"/>
      <c r="T77" s="54" t="n"/>
      <c r="U77" s="49" t="n"/>
      <c r="V77" s="54" t="n"/>
      <c r="W77" s="49" t="n"/>
      <c r="X77" s="53" t="n"/>
      <c r="Y77" s="49" t="n"/>
    </row>
    <row r="78" ht="30" customHeight="1" s="38">
      <c r="A78" s="52" t="n">
        <v>4</v>
      </c>
      <c r="B78" s="53" t="inlineStr">
        <is>
          <t>fecha_creacion</t>
        </is>
      </c>
      <c r="C78" s="53" t="inlineStr">
        <is>
          <t>Fecha de creación del grupo</t>
        </is>
      </c>
      <c r="D78" s="48" t="n"/>
      <c r="E78" s="48" t="n"/>
      <c r="F78" s="49" t="n"/>
      <c r="G78" s="54" t="inlineStr">
        <is>
          <t>DATE</t>
        </is>
      </c>
      <c r="H78" s="48" t="n"/>
      <c r="I78" s="48" t="n"/>
      <c r="J78" s="49" t="n"/>
      <c r="K78" s="54" t="inlineStr">
        <is>
          <t>4 bytes</t>
        </is>
      </c>
      <c r="L78" s="48" t="n"/>
      <c r="M78" s="48" t="n"/>
      <c r="N78" s="49" t="n"/>
      <c r="O78" s="54" t="inlineStr">
        <is>
          <t>No</t>
        </is>
      </c>
      <c r="P78" s="48" t="n"/>
      <c r="Q78" s="49" t="n"/>
      <c r="R78" s="54" t="n"/>
      <c r="S78" s="49" t="n"/>
      <c r="T78" s="54" t="n"/>
      <c r="U78" s="49" t="n"/>
      <c r="V78" s="54" t="n"/>
      <c r="W78" s="49" t="n"/>
      <c r="X78" s="53" t="inlineStr">
        <is>
          <t>DEFAULT CURRENT_DATE</t>
        </is>
      </c>
      <c r="Y78" s="49" t="n"/>
    </row>
    <row r="79" ht="30" customHeight="1" s="38">
      <c r="A79" s="52" t="n">
        <v>5</v>
      </c>
      <c r="B79" s="53" t="inlineStr">
        <is>
          <t>es_privado</t>
        </is>
      </c>
      <c r="C79" s="53" t="inlineStr">
        <is>
          <t>TRUE si el ingreso requiere aprobación</t>
        </is>
      </c>
      <c r="D79" s="48" t="n"/>
      <c r="E79" s="48" t="n"/>
      <c r="F79" s="49" t="n"/>
      <c r="G79" s="54" t="inlineStr">
        <is>
          <t>BOOLEAN</t>
        </is>
      </c>
      <c r="H79" s="48" t="n"/>
      <c r="I79" s="48" t="n"/>
      <c r="J79" s="49" t="n"/>
      <c r="K79" s="54" t="inlineStr">
        <is>
          <t>1 byte</t>
        </is>
      </c>
      <c r="L79" s="48" t="n"/>
      <c r="M79" s="48" t="n"/>
      <c r="N79" s="49" t="n"/>
      <c r="O79" s="54" t="inlineStr">
        <is>
          <t>No</t>
        </is>
      </c>
      <c r="P79" s="48" t="n"/>
      <c r="Q79" s="49" t="n"/>
      <c r="R79" s="54" t="n"/>
      <c r="S79" s="49" t="n"/>
      <c r="T79" s="54" t="n"/>
      <c r="U79" s="49" t="n"/>
      <c r="V79" s="54" t="n"/>
      <c r="W79" s="49" t="n"/>
      <c r="X79" s="53" t="inlineStr">
        <is>
          <t>DEFAULT false</t>
        </is>
      </c>
      <c r="Y79" s="49" t="n"/>
    </row>
    <row r="80" ht="30" customHeight="1" s="38">
      <c r="A80" s="52" t="n">
        <v>6</v>
      </c>
      <c r="B80" s="53" t="inlineStr">
        <is>
          <t>estado_grupo</t>
        </is>
      </c>
      <c r="C80" s="53" t="inlineStr">
        <is>
          <t>Estado: activo, inactivo o cerrado</t>
        </is>
      </c>
      <c r="D80" s="48" t="n"/>
      <c r="E80" s="48" t="n"/>
      <c r="F80" s="49" t="n"/>
      <c r="G80" s="54" t="inlineStr">
        <is>
          <t>VARCHAR</t>
        </is>
      </c>
      <c r="H80" s="48" t="n"/>
      <c r="I80" s="48" t="n"/>
      <c r="J80" s="49" t="n"/>
      <c r="K80" s="54" t="inlineStr">
        <is>
          <t>10</t>
        </is>
      </c>
      <c r="L80" s="48" t="n"/>
      <c r="M80" s="48" t="n"/>
      <c r="N80" s="49" t="n"/>
      <c r="O80" s="54" t="inlineStr">
        <is>
          <t>No</t>
        </is>
      </c>
      <c r="P80" s="48" t="n"/>
      <c r="Q80" s="49" t="n"/>
      <c r="R80" s="54" t="n"/>
      <c r="S80" s="49" t="n"/>
      <c r="T80" s="54" t="n"/>
      <c r="U80" s="49" t="n"/>
      <c r="V80" s="54" t="n"/>
      <c r="W80" s="49" t="n"/>
      <c r="X80" s="53" t="inlineStr">
        <is>
          <t>DEFAULT 'activo'; CHECK (estado_grupo)IN ('activo', 'inactivo', 'cerrado')</t>
        </is>
      </c>
      <c r="Y80" s="49" t="n"/>
    </row>
    <row r="81" ht="15.75" customHeight="1" s="38"/>
    <row r="82" ht="15.75" customHeight="1" s="38"/>
    <row r="83" ht="32" customHeight="1" s="38">
      <c r="A83" s="24" t="n">
        <v>6</v>
      </c>
      <c r="B83" s="30" t="inlineStr">
        <is>
          <t>Tabla</t>
        </is>
      </c>
      <c r="C83" s="29">
        <f>B9</f>
        <v/>
      </c>
      <c r="D83" s="48" t="n"/>
      <c r="E83" s="48" t="n"/>
      <c r="F83" s="49" t="n"/>
      <c r="G83" s="28" t="inlineStr">
        <is>
          <t>Descripción Tabla</t>
        </is>
      </c>
      <c r="H83" s="48" t="n"/>
      <c r="I83" s="48" t="n"/>
      <c r="J83" s="49" t="n"/>
      <c r="K83" s="51">
        <f>F9</f>
        <v/>
      </c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9" t="n"/>
      <c r="X83" s="28" t="inlineStr">
        <is>
          <t>Versión</t>
        </is>
      </c>
      <c r="Y83" s="29" t="inlineStr">
        <is>
          <t>3.0</t>
        </is>
      </c>
    </row>
    <row r="84" ht="41.25" customHeight="1" s="38">
      <c r="A84" s="28" t="inlineStr">
        <is>
          <t>#</t>
        </is>
      </c>
      <c r="B84" s="28" t="inlineStr">
        <is>
          <t>Campo</t>
        </is>
      </c>
      <c r="C84" s="28" t="inlineStr">
        <is>
          <t>Descripción Campo</t>
        </is>
      </c>
      <c r="D84" s="48" t="n"/>
      <c r="E84" s="48" t="n"/>
      <c r="F84" s="49" t="n"/>
      <c r="G84" s="28" t="inlineStr">
        <is>
          <t>Tipo Dato
(PostgreSQL)</t>
        </is>
      </c>
      <c r="H84" s="48" t="n"/>
      <c r="I84" s="48" t="n"/>
      <c r="J84" s="49" t="n"/>
      <c r="K84" s="28" t="inlineStr">
        <is>
          <t>Tamaño / Longitud</t>
        </is>
      </c>
      <c r="L84" s="48" t="n"/>
      <c r="M84" s="48" t="n"/>
      <c r="N84" s="49" t="n"/>
      <c r="O84" s="28" t="inlineStr">
        <is>
          <t>Nulo</t>
        </is>
      </c>
      <c r="P84" s="48" t="n"/>
      <c r="Q84" s="49" t="n"/>
      <c r="R84" s="28" t="inlineStr">
        <is>
          <t>PK</t>
        </is>
      </c>
      <c r="S84" s="49" t="n"/>
      <c r="T84" s="28" t="inlineStr">
        <is>
          <t>FK</t>
        </is>
      </c>
      <c r="U84" s="49" t="n"/>
      <c r="V84" s="28" t="inlineStr">
        <is>
          <t>UK</t>
        </is>
      </c>
      <c r="W84" s="49" t="n"/>
      <c r="X84" s="28" t="inlineStr">
        <is>
          <t>Nota/Comentarios</t>
        </is>
      </c>
      <c r="Y84" s="49" t="n"/>
    </row>
    <row r="85" ht="30" customHeight="1" s="38">
      <c r="A85" s="52" t="n">
        <v>1</v>
      </c>
      <c r="B85" s="53" t="inlineStr">
        <is>
          <t>id_perfil</t>
        </is>
      </c>
      <c r="C85" s="53" t="inlineStr">
        <is>
          <t>Identificador único del perfil</t>
        </is>
      </c>
      <c r="D85" s="48" t="n"/>
      <c r="E85" s="48" t="n"/>
      <c r="F85" s="49" t="n"/>
      <c r="G85" s="54" t="inlineStr">
        <is>
          <t>INTEGER</t>
        </is>
      </c>
      <c r="H85" s="48" t="n"/>
      <c r="I85" s="48" t="n"/>
      <c r="J85" s="49" t="n"/>
      <c r="K85" s="54" t="inlineStr">
        <is>
          <t>4 bytes</t>
        </is>
      </c>
      <c r="L85" s="48" t="n"/>
      <c r="M85" s="48" t="n"/>
      <c r="N85" s="49" t="n"/>
      <c r="O85" s="54" t="inlineStr">
        <is>
          <t>No</t>
        </is>
      </c>
      <c r="P85" s="48" t="n"/>
      <c r="Q85" s="49" t="n"/>
      <c r="R85" s="54" t="inlineStr">
        <is>
          <t>S</t>
        </is>
      </c>
      <c r="S85" s="49" t="n"/>
      <c r="T85" s="54" t="n"/>
      <c r="U85" s="49" t="n"/>
      <c r="V85" s="54" t="n"/>
      <c r="W85" s="49" t="n"/>
      <c r="X85" s="53" t="inlineStr">
        <is>
          <t>GENERATED ALWAYS AS IDENTITY</t>
        </is>
      </c>
      <c r="Y85" s="49" t="n"/>
    </row>
    <row r="86" ht="60" customHeight="1" s="38">
      <c r="A86" s="52" t="n">
        <v>2</v>
      </c>
      <c r="B86" s="53" t="inlineStr">
        <is>
          <t>id_usuario</t>
        </is>
      </c>
      <c r="C86" s="53" t="inlineStr">
        <is>
          <t>Usuario dueño del perfil (vacío si es de grupo)</t>
        </is>
      </c>
      <c r="D86" s="48" t="n"/>
      <c r="E86" s="48" t="n"/>
      <c r="F86" s="49" t="n"/>
      <c r="G86" s="54" t="inlineStr">
        <is>
          <t>INTEGER</t>
        </is>
      </c>
      <c r="H86" s="48" t="n"/>
      <c r="I86" s="48" t="n"/>
      <c r="J86" s="49" t="n"/>
      <c r="K86" s="54" t="inlineStr">
        <is>
          <t>4 bytes</t>
        </is>
      </c>
      <c r="L86" s="48" t="n"/>
      <c r="M86" s="48" t="n"/>
      <c r="N86" s="49" t="n"/>
      <c r="O86" s="54" t="inlineStr">
        <is>
          <t>Sí</t>
        </is>
      </c>
      <c r="P86" s="48" t="n"/>
      <c r="Q86" s="49" t="n"/>
      <c r="R86" s="54" t="n"/>
      <c r="S86" s="49" t="n"/>
      <c r="T86" s="54" t="inlineStr">
        <is>
          <t>S</t>
        </is>
      </c>
      <c r="U86" s="49" t="n"/>
      <c r="V86" s="54" t="inlineStr">
        <is>
          <t>S</t>
        </is>
      </c>
      <c r="W86" s="49" t="n"/>
      <c r="X86" s="53" t="inlineStr">
        <is>
          <t>Ref. usuario(id_usuario) ON DELETE CASCADE ON UPDATE CASCADE; CHECK (id_usuario IS NOT NULL) AND (id_grupo IS NULL) OR (id_usuario IS NULL) AND (id_grupo IS NOT NULL)</t>
        </is>
      </c>
      <c r="Y86" s="49" t="n"/>
    </row>
    <row r="87" ht="60" customHeight="1" s="38">
      <c r="A87" s="52" t="n">
        <v>3</v>
      </c>
      <c r="B87" s="53" t="inlineStr">
        <is>
          <t>id_grupo</t>
        </is>
      </c>
      <c r="C87" s="53" t="inlineStr">
        <is>
          <t>Grupo dueño del perfil (vacío si es de usuario)</t>
        </is>
      </c>
      <c r="D87" s="48" t="n"/>
      <c r="E87" s="48" t="n"/>
      <c r="F87" s="49" t="n"/>
      <c r="G87" s="54" t="inlineStr">
        <is>
          <t>INTEGER</t>
        </is>
      </c>
      <c r="H87" s="48" t="n"/>
      <c r="I87" s="48" t="n"/>
      <c r="J87" s="49" t="n"/>
      <c r="K87" s="54" t="inlineStr">
        <is>
          <t>4 bytes</t>
        </is>
      </c>
      <c r="L87" s="48" t="n"/>
      <c r="M87" s="48" t="n"/>
      <c r="N87" s="49" t="n"/>
      <c r="O87" s="54" t="inlineStr">
        <is>
          <t>Sí</t>
        </is>
      </c>
      <c r="P87" s="48" t="n"/>
      <c r="Q87" s="49" t="n"/>
      <c r="R87" s="54" t="n"/>
      <c r="S87" s="49" t="n"/>
      <c r="T87" s="54" t="inlineStr">
        <is>
          <t>S</t>
        </is>
      </c>
      <c r="U87" s="49" t="n"/>
      <c r="V87" s="54" t="inlineStr">
        <is>
          <t>S</t>
        </is>
      </c>
      <c r="W87" s="49" t="n"/>
      <c r="X87" s="53" t="inlineStr">
        <is>
          <t>Ref. grupo(id_grupo) ON DELETE CASCADE ON UPDATE CASCADE; CHECK (id_usuario IS NOT NULL) AND (id_grupo IS NULL) OR (id_usuario IS NULL) AND (id_grupo IS NOT NULL)</t>
        </is>
      </c>
      <c r="Y87" s="49" t="n"/>
    </row>
    <row r="88" ht="30" customHeight="1" s="38">
      <c r="A88" s="52" t="n">
        <v>4</v>
      </c>
      <c r="B88" s="53" t="inlineStr">
        <is>
          <t>titular_perfil</t>
        </is>
      </c>
      <c r="C88" s="53" t="inlineStr">
        <is>
          <t>Título visible del perfil</t>
        </is>
      </c>
      <c r="D88" s="48" t="n"/>
      <c r="E88" s="48" t="n"/>
      <c r="F88" s="49" t="n"/>
      <c r="G88" s="54" t="inlineStr">
        <is>
          <t>VARCHAR</t>
        </is>
      </c>
      <c r="H88" s="48" t="n"/>
      <c r="I88" s="48" t="n"/>
      <c r="J88" s="49" t="n"/>
      <c r="K88" s="54" t="inlineStr">
        <is>
          <t>100</t>
        </is>
      </c>
      <c r="L88" s="48" t="n"/>
      <c r="M88" s="48" t="n"/>
      <c r="N88" s="49" t="n"/>
      <c r="O88" s="54" t="inlineStr">
        <is>
          <t>No</t>
        </is>
      </c>
      <c r="P88" s="48" t="n"/>
      <c r="Q88" s="49" t="n"/>
      <c r="R88" s="54" t="n"/>
      <c r="S88" s="49" t="n"/>
      <c r="T88" s="54" t="n"/>
      <c r="U88" s="49" t="n"/>
      <c r="V88" s="54" t="n"/>
      <c r="W88" s="49" t="n"/>
      <c r="X88" s="53" t="n"/>
      <c r="Y88" s="49" t="n"/>
    </row>
    <row r="89" ht="30" customHeight="1" s="38">
      <c r="A89" s="52" t="n">
        <v>5</v>
      </c>
      <c r="B89" s="53" t="inlineStr">
        <is>
          <t>area_estudio</t>
        </is>
      </c>
      <c r="C89" s="53" t="inlineStr">
        <is>
          <t>Área de estudio o disciplina principal</t>
        </is>
      </c>
      <c r="D89" s="48" t="n"/>
      <c r="E89" s="48" t="n"/>
      <c r="F89" s="49" t="n"/>
      <c r="G89" s="54" t="inlineStr">
        <is>
          <t>VARCHAR</t>
        </is>
      </c>
      <c r="H89" s="48" t="n"/>
      <c r="I89" s="48" t="n"/>
      <c r="J89" s="49" t="n"/>
      <c r="K89" s="54" t="inlineStr">
        <is>
          <t>100</t>
        </is>
      </c>
      <c r="L89" s="48" t="n"/>
      <c r="M89" s="48" t="n"/>
      <c r="N89" s="49" t="n"/>
      <c r="O89" s="54" t="inlineStr">
        <is>
          <t>Sí</t>
        </is>
      </c>
      <c r="P89" s="48" t="n"/>
      <c r="Q89" s="49" t="n"/>
      <c r="R89" s="54" t="n"/>
      <c r="S89" s="49" t="n"/>
      <c r="T89" s="54" t="n"/>
      <c r="U89" s="49" t="n"/>
      <c r="V89" s="54" t="n"/>
      <c r="W89" s="49" t="n"/>
      <c r="X89" s="53" t="n"/>
      <c r="Y89" s="49" t="n"/>
    </row>
    <row r="90" ht="30" customHeight="1" s="38">
      <c r="A90" s="52" t="n">
        <v>6</v>
      </c>
      <c r="B90" s="53" t="inlineStr">
        <is>
          <t>descripcion_perfil</t>
        </is>
      </c>
      <c r="C90" s="53" t="inlineStr">
        <is>
          <t>Presentación breve del titular</t>
        </is>
      </c>
      <c r="D90" s="48" t="n"/>
      <c r="E90" s="48" t="n"/>
      <c r="F90" s="49" t="n"/>
      <c r="G90" s="54" t="inlineStr">
        <is>
          <t>VARCHAR</t>
        </is>
      </c>
      <c r="H90" s="48" t="n"/>
      <c r="I90" s="48" t="n"/>
      <c r="J90" s="49" t="n"/>
      <c r="K90" s="54" t="inlineStr">
        <is>
          <t>500</t>
        </is>
      </c>
      <c r="L90" s="48" t="n"/>
      <c r="M90" s="48" t="n"/>
      <c r="N90" s="49" t="n"/>
      <c r="O90" s="54" t="inlineStr">
        <is>
          <t>Sí</t>
        </is>
      </c>
      <c r="P90" s="48" t="n"/>
      <c r="Q90" s="49" t="n"/>
      <c r="R90" s="54" t="n"/>
      <c r="S90" s="49" t="n"/>
      <c r="T90" s="54" t="n"/>
      <c r="U90" s="49" t="n"/>
      <c r="V90" s="54" t="n"/>
      <c r="W90" s="49" t="n"/>
      <c r="X90" s="53" t="n"/>
      <c r="Y90" s="49" t="n"/>
    </row>
    <row r="91" ht="30" customHeight="1" s="38">
      <c r="A91" s="52" t="n">
        <v>7</v>
      </c>
      <c r="B91" s="53" t="inlineStr">
        <is>
          <t>atributos_perfil</t>
        </is>
      </c>
      <c r="C91" s="53" t="inlineStr">
        <is>
          <t>Intereses, habilidades, deportes, libros (JSONB)</t>
        </is>
      </c>
      <c r="D91" s="48" t="n"/>
      <c r="E91" s="48" t="n"/>
      <c r="F91" s="49" t="n"/>
      <c r="G91" s="54" t="inlineStr">
        <is>
          <t>JSONB</t>
        </is>
      </c>
      <c r="H91" s="48" t="n"/>
      <c r="I91" s="48" t="n"/>
      <c r="J91" s="49" t="n"/>
      <c r="K91" s="54" t="inlineStr">
        <is>
          <t>Variable</t>
        </is>
      </c>
      <c r="L91" s="48" t="n"/>
      <c r="M91" s="48" t="n"/>
      <c r="N91" s="49" t="n"/>
      <c r="O91" s="54" t="inlineStr">
        <is>
          <t>Sí</t>
        </is>
      </c>
      <c r="P91" s="48" t="n"/>
      <c r="Q91" s="49" t="n"/>
      <c r="R91" s="54" t="n"/>
      <c r="S91" s="49" t="n"/>
      <c r="T91" s="54" t="n"/>
      <c r="U91" s="49" t="n"/>
      <c r="V91" s="54" t="n"/>
      <c r="W91" s="49" t="n"/>
      <c r="X91" s="53" t="n"/>
      <c r="Y91" s="49" t="n"/>
    </row>
    <row r="92" ht="30" customHeight="1" s="38">
      <c r="A92" s="52" t="n">
        <v>8</v>
      </c>
      <c r="B92" s="53" t="inlineStr">
        <is>
          <t>url_fotografia</t>
        </is>
      </c>
      <c r="C92" s="53" t="inlineStr">
        <is>
          <t>Enlace a la foto de perfil</t>
        </is>
      </c>
      <c r="D92" s="48" t="n"/>
      <c r="E92" s="48" t="n"/>
      <c r="F92" s="49" t="n"/>
      <c r="G92" s="54" t="inlineStr">
        <is>
          <t>VARCHAR</t>
        </is>
      </c>
      <c r="H92" s="48" t="n"/>
      <c r="I92" s="48" t="n"/>
      <c r="J92" s="49" t="n"/>
      <c r="K92" s="54" t="inlineStr">
        <is>
          <t>255</t>
        </is>
      </c>
      <c r="L92" s="48" t="n"/>
      <c r="M92" s="48" t="n"/>
      <c r="N92" s="49" t="n"/>
      <c r="O92" s="54" t="inlineStr">
        <is>
          <t>Sí</t>
        </is>
      </c>
      <c r="P92" s="48" t="n"/>
      <c r="Q92" s="49" t="n"/>
      <c r="R92" s="54" t="n"/>
      <c r="S92" s="49" t="n"/>
      <c r="T92" s="54" t="n"/>
      <c r="U92" s="49" t="n"/>
      <c r="V92" s="54" t="n"/>
      <c r="W92" s="49" t="n"/>
      <c r="X92" s="53" t="n"/>
      <c r="Y92" s="49" t="n"/>
    </row>
    <row r="93" ht="30" customHeight="1" s="38">
      <c r="A93" s="52" t="n">
        <v>9</v>
      </c>
      <c r="B93" s="53" t="inlineStr">
        <is>
          <t>fecha_actualizacion</t>
        </is>
      </c>
      <c r="C93" s="53" t="inlineStr">
        <is>
          <t>Fecha y hora de la última modificación</t>
        </is>
      </c>
      <c r="D93" s="48" t="n"/>
      <c r="E93" s="48" t="n"/>
      <c r="F93" s="49" t="n"/>
      <c r="G93" s="54" t="inlineStr">
        <is>
          <t>TIMESTAMP</t>
        </is>
      </c>
      <c r="H93" s="48" t="n"/>
      <c r="I93" s="48" t="n"/>
      <c r="J93" s="49" t="n"/>
      <c r="K93" s="54" t="inlineStr">
        <is>
          <t>8 bytes</t>
        </is>
      </c>
      <c r="L93" s="48" t="n"/>
      <c r="M93" s="48" t="n"/>
      <c r="N93" s="49" t="n"/>
      <c r="O93" s="54" t="inlineStr">
        <is>
          <t>No</t>
        </is>
      </c>
      <c r="P93" s="48" t="n"/>
      <c r="Q93" s="49" t="n"/>
      <c r="R93" s="54" t="n"/>
      <c r="S93" s="49" t="n"/>
      <c r="T93" s="54" t="n"/>
      <c r="U93" s="49" t="n"/>
      <c r="V93" s="54" t="n"/>
      <c r="W93" s="49" t="n"/>
      <c r="X93" s="53" t="inlineStr">
        <is>
          <t>DEFAULT CURRENT_TIMESTAMP</t>
        </is>
      </c>
      <c r="Y93" s="49" t="n"/>
    </row>
    <row r="94" ht="15.75" customHeight="1" s="38"/>
    <row r="95" ht="15.75" customHeight="1" s="38"/>
    <row r="96" ht="32" customHeight="1" s="38">
      <c r="A96" s="24" t="n">
        <v>7</v>
      </c>
      <c r="B96" s="30" t="inlineStr">
        <is>
          <t>Tabla</t>
        </is>
      </c>
      <c r="C96" s="29">
        <f>B10</f>
        <v/>
      </c>
      <c r="D96" s="48" t="n"/>
      <c r="E96" s="48" t="n"/>
      <c r="F96" s="49" t="n"/>
      <c r="G96" s="28" t="inlineStr">
        <is>
          <t>Descripción Tabla</t>
        </is>
      </c>
      <c r="H96" s="48" t="n"/>
      <c r="I96" s="48" t="n"/>
      <c r="J96" s="49" t="n"/>
      <c r="K96" s="51">
        <f>F10</f>
        <v/>
      </c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9" t="n"/>
      <c r="X96" s="28" t="inlineStr">
        <is>
          <t>Versión</t>
        </is>
      </c>
      <c r="Y96" s="29" t="inlineStr">
        <is>
          <t>3.0</t>
        </is>
      </c>
    </row>
    <row r="97" ht="41.25" customHeight="1" s="38">
      <c r="A97" s="28" t="inlineStr">
        <is>
          <t>#</t>
        </is>
      </c>
      <c r="B97" s="28" t="inlineStr">
        <is>
          <t>Campo</t>
        </is>
      </c>
      <c r="C97" s="28" t="inlineStr">
        <is>
          <t>Descripción Campo</t>
        </is>
      </c>
      <c r="D97" s="48" t="n"/>
      <c r="E97" s="48" t="n"/>
      <c r="F97" s="49" t="n"/>
      <c r="G97" s="28" t="inlineStr">
        <is>
          <t>Tipo Dato
(PostgreSQL)</t>
        </is>
      </c>
      <c r="H97" s="48" t="n"/>
      <c r="I97" s="48" t="n"/>
      <c r="J97" s="49" t="n"/>
      <c r="K97" s="28" t="inlineStr">
        <is>
          <t>Tamaño / Longitud</t>
        </is>
      </c>
      <c r="L97" s="48" t="n"/>
      <c r="M97" s="48" t="n"/>
      <c r="N97" s="49" t="n"/>
      <c r="O97" s="28" t="inlineStr">
        <is>
          <t>Nulo</t>
        </is>
      </c>
      <c r="P97" s="48" t="n"/>
      <c r="Q97" s="49" t="n"/>
      <c r="R97" s="28" t="inlineStr">
        <is>
          <t>PK</t>
        </is>
      </c>
      <c r="S97" s="49" t="n"/>
      <c r="T97" s="28" t="inlineStr">
        <is>
          <t>FK</t>
        </is>
      </c>
      <c r="U97" s="49" t="n"/>
      <c r="V97" s="28" t="inlineStr">
        <is>
          <t>UK</t>
        </is>
      </c>
      <c r="W97" s="49" t="n"/>
      <c r="X97" s="28" t="inlineStr">
        <is>
          <t>Nota/Comentarios</t>
        </is>
      </c>
      <c r="Y97" s="49" t="n"/>
    </row>
    <row r="98" ht="30" customHeight="1" s="38">
      <c r="A98" s="52" t="n">
        <v>1</v>
      </c>
      <c r="B98" s="53" t="inlineStr">
        <is>
          <t>id_grupo</t>
        </is>
      </c>
      <c r="C98" s="53" t="inlineStr">
        <is>
          <t>Grupo al que pertenece (parte de la PK)</t>
        </is>
      </c>
      <c r="D98" s="48" t="n"/>
      <c r="E98" s="48" t="n"/>
      <c r="F98" s="49" t="n"/>
      <c r="G98" s="54" t="inlineStr">
        <is>
          <t>INTEGER</t>
        </is>
      </c>
      <c r="H98" s="48" t="n"/>
      <c r="I98" s="48" t="n"/>
      <c r="J98" s="49" t="n"/>
      <c r="K98" s="54" t="inlineStr">
        <is>
          <t>4 bytes</t>
        </is>
      </c>
      <c r="L98" s="48" t="n"/>
      <c r="M98" s="48" t="n"/>
      <c r="N98" s="49" t="n"/>
      <c r="O98" s="54" t="inlineStr">
        <is>
          <t>No</t>
        </is>
      </c>
      <c r="P98" s="48" t="n"/>
      <c r="Q98" s="49" t="n"/>
      <c r="R98" s="54" t="inlineStr">
        <is>
          <t>S</t>
        </is>
      </c>
      <c r="S98" s="49" t="n"/>
      <c r="T98" s="54" t="inlineStr">
        <is>
          <t>S</t>
        </is>
      </c>
      <c r="U98" s="49" t="n"/>
      <c r="V98" s="54" t="n"/>
      <c r="W98" s="49" t="n"/>
      <c r="X98" s="53" t="inlineStr">
        <is>
          <t>Ref. grupo(id_grupo) ON DELETE CASCADE ON UPDATE CASCADE</t>
        </is>
      </c>
      <c r="Y98" s="49" t="n"/>
    </row>
    <row r="99" ht="30" customHeight="1" s="38">
      <c r="A99" s="52" t="n">
        <v>2</v>
      </c>
      <c r="B99" s="53" t="inlineStr">
        <is>
          <t>id_usuario</t>
        </is>
      </c>
      <c r="C99" s="53" t="inlineStr">
        <is>
          <t>Usuario miembro (parte de la PK)</t>
        </is>
      </c>
      <c r="D99" s="48" t="n"/>
      <c r="E99" s="48" t="n"/>
      <c r="F99" s="49" t="n"/>
      <c r="G99" s="54" t="inlineStr">
        <is>
          <t>INTEGER</t>
        </is>
      </c>
      <c r="H99" s="48" t="n"/>
      <c r="I99" s="48" t="n"/>
      <c r="J99" s="49" t="n"/>
      <c r="K99" s="54" t="inlineStr">
        <is>
          <t>4 bytes</t>
        </is>
      </c>
      <c r="L99" s="48" t="n"/>
      <c r="M99" s="48" t="n"/>
      <c r="N99" s="49" t="n"/>
      <c r="O99" s="54" t="inlineStr">
        <is>
          <t>No</t>
        </is>
      </c>
      <c r="P99" s="48" t="n"/>
      <c r="Q99" s="49" t="n"/>
      <c r="R99" s="54" t="inlineStr">
        <is>
          <t>S</t>
        </is>
      </c>
      <c r="S99" s="49" t="n"/>
      <c r="T99" s="54" t="inlineStr">
        <is>
          <t>S</t>
        </is>
      </c>
      <c r="U99" s="49" t="n"/>
      <c r="V99" s="54" t="n"/>
      <c r="W99" s="49" t="n"/>
      <c r="X99" s="53" t="inlineStr">
        <is>
          <t>Ref. usuario(id_usuario) ON DELETE CASCADE ON UPDATE CASCADE</t>
        </is>
      </c>
      <c r="Y99" s="49" t="n"/>
    </row>
    <row r="100" ht="30" customHeight="1" s="38">
      <c r="A100" s="52" t="n">
        <v>3</v>
      </c>
      <c r="B100" s="53" t="inlineStr">
        <is>
          <t>fecha_ingreso</t>
        </is>
      </c>
      <c r="C100" s="53" t="inlineStr">
        <is>
          <t>Fecha y hora de solicitud/ingreso</t>
        </is>
      </c>
      <c r="D100" s="48" t="n"/>
      <c r="E100" s="48" t="n"/>
      <c r="F100" s="49" t="n"/>
      <c r="G100" s="54" t="inlineStr">
        <is>
          <t>TIMESTAMP</t>
        </is>
      </c>
      <c r="H100" s="48" t="n"/>
      <c r="I100" s="48" t="n"/>
      <c r="J100" s="49" t="n"/>
      <c r="K100" s="54" t="inlineStr">
        <is>
          <t>8 bytes</t>
        </is>
      </c>
      <c r="L100" s="48" t="n"/>
      <c r="M100" s="48" t="n"/>
      <c r="N100" s="49" t="n"/>
      <c r="O100" s="54" t="inlineStr">
        <is>
          <t>No</t>
        </is>
      </c>
      <c r="P100" s="48" t="n"/>
      <c r="Q100" s="49" t="n"/>
      <c r="R100" s="54" t="n"/>
      <c r="S100" s="49" t="n"/>
      <c r="T100" s="54" t="n"/>
      <c r="U100" s="49" t="n"/>
      <c r="V100" s="54" t="n"/>
      <c r="W100" s="49" t="n"/>
      <c r="X100" s="53" t="inlineStr">
        <is>
          <t>DEFAULT CURRENT_TIMESTAMP</t>
        </is>
      </c>
      <c r="Y100" s="49" t="n"/>
    </row>
    <row r="101" ht="45" customHeight="1" s="38">
      <c r="A101" s="52" t="n">
        <v>4</v>
      </c>
      <c r="B101" s="53" t="inlineStr">
        <is>
          <t>estado_membresia</t>
        </is>
      </c>
      <c r="C101" s="53" t="inlineStr">
        <is>
          <t>Estado: pendiente, activa, rechazada, retirada</t>
        </is>
      </c>
      <c r="D101" s="48" t="n"/>
      <c r="E101" s="48" t="n"/>
      <c r="F101" s="49" t="n"/>
      <c r="G101" s="54" t="inlineStr">
        <is>
          <t>VARCHAR</t>
        </is>
      </c>
      <c r="H101" s="48" t="n"/>
      <c r="I101" s="48" t="n"/>
      <c r="J101" s="49" t="n"/>
      <c r="K101" s="54" t="inlineStr">
        <is>
          <t>12</t>
        </is>
      </c>
      <c r="L101" s="48" t="n"/>
      <c r="M101" s="48" t="n"/>
      <c r="N101" s="49" t="n"/>
      <c r="O101" s="54" t="inlineStr">
        <is>
          <t>No</t>
        </is>
      </c>
      <c r="P101" s="48" t="n"/>
      <c r="Q101" s="49" t="n"/>
      <c r="R101" s="54" t="n"/>
      <c r="S101" s="49" t="n"/>
      <c r="T101" s="54" t="n"/>
      <c r="U101" s="49" t="n"/>
      <c r="V101" s="54" t="n"/>
      <c r="W101" s="49" t="n"/>
      <c r="X101" s="53" t="inlineStr">
        <is>
          <t>DEFAULT 'pendiente'; CHECK (estado_membresia)IN ('pendiente', 'activa', 'rechazada', 'retirada')</t>
        </is>
      </c>
      <c r="Y101" s="49" t="n"/>
    </row>
    <row r="102" ht="30" customHeight="1" s="38">
      <c r="A102" s="52" t="n">
        <v>5</v>
      </c>
      <c r="B102" s="53" t="inlineStr">
        <is>
          <t>rol_en_grupo</t>
        </is>
      </c>
      <c r="C102" s="53" t="inlineStr">
        <is>
          <t>Rol interno: administrador, moderador, miembro</t>
        </is>
      </c>
      <c r="D102" s="48" t="n"/>
      <c r="E102" s="48" t="n"/>
      <c r="F102" s="49" t="n"/>
      <c r="G102" s="54" t="inlineStr">
        <is>
          <t>VARCHAR</t>
        </is>
      </c>
      <c r="H102" s="48" t="n"/>
      <c r="I102" s="48" t="n"/>
      <c r="J102" s="49" t="n"/>
      <c r="K102" s="54" t="inlineStr">
        <is>
          <t>15</t>
        </is>
      </c>
      <c r="L102" s="48" t="n"/>
      <c r="M102" s="48" t="n"/>
      <c r="N102" s="49" t="n"/>
      <c r="O102" s="54" t="inlineStr">
        <is>
          <t>No</t>
        </is>
      </c>
      <c r="P102" s="48" t="n"/>
      <c r="Q102" s="49" t="n"/>
      <c r="R102" s="54" t="n"/>
      <c r="S102" s="49" t="n"/>
      <c r="T102" s="54" t="n"/>
      <c r="U102" s="49" t="n"/>
      <c r="V102" s="54" t="n"/>
      <c r="W102" s="49" t="n"/>
      <c r="X102" s="53" t="inlineStr">
        <is>
          <t>DEFAULT 'miembro'; CHECK (rol_en_grupo)IN ('administrador', 'moderador', 'miembro')</t>
        </is>
      </c>
      <c r="Y102" s="49" t="n"/>
    </row>
    <row r="103" ht="15.75" customHeight="1" s="38"/>
    <row r="104" ht="15.75" customHeight="1" s="38"/>
    <row r="105" ht="32" customHeight="1" s="38">
      <c r="A105" s="24" t="n">
        <v>8</v>
      </c>
      <c r="B105" s="30" t="inlineStr">
        <is>
          <t>Tabla</t>
        </is>
      </c>
      <c r="C105" s="29">
        <f>B11</f>
        <v/>
      </c>
      <c r="D105" s="48" t="n"/>
      <c r="E105" s="48" t="n"/>
      <c r="F105" s="49" t="n"/>
      <c r="G105" s="28" t="inlineStr">
        <is>
          <t>Descripción Tabla</t>
        </is>
      </c>
      <c r="H105" s="48" t="n"/>
      <c r="I105" s="48" t="n"/>
      <c r="J105" s="49" t="n"/>
      <c r="K105" s="51">
        <f>F11</f>
        <v/>
      </c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9" t="n"/>
      <c r="X105" s="28" t="inlineStr">
        <is>
          <t>Versión</t>
        </is>
      </c>
      <c r="Y105" s="29" t="inlineStr">
        <is>
          <t>3.0</t>
        </is>
      </c>
    </row>
    <row r="106" ht="41.25" customHeight="1" s="38">
      <c r="A106" s="28" t="inlineStr">
        <is>
          <t>#</t>
        </is>
      </c>
      <c r="B106" s="28" t="inlineStr">
        <is>
          <t>Campo</t>
        </is>
      </c>
      <c r="C106" s="28" t="inlineStr">
        <is>
          <t>Descripción Campo</t>
        </is>
      </c>
      <c r="D106" s="48" t="n"/>
      <c r="E106" s="48" t="n"/>
      <c r="F106" s="49" t="n"/>
      <c r="G106" s="28" t="inlineStr">
        <is>
          <t>Tipo Dato
(PostgreSQL)</t>
        </is>
      </c>
      <c r="H106" s="48" t="n"/>
      <c r="I106" s="48" t="n"/>
      <c r="J106" s="49" t="n"/>
      <c r="K106" s="28" t="inlineStr">
        <is>
          <t>Tamaño / Longitud</t>
        </is>
      </c>
      <c r="L106" s="48" t="n"/>
      <c r="M106" s="48" t="n"/>
      <c r="N106" s="49" t="n"/>
      <c r="O106" s="28" t="inlineStr">
        <is>
          <t>Nulo</t>
        </is>
      </c>
      <c r="P106" s="48" t="n"/>
      <c r="Q106" s="49" t="n"/>
      <c r="R106" s="28" t="inlineStr">
        <is>
          <t>PK</t>
        </is>
      </c>
      <c r="S106" s="49" t="n"/>
      <c r="T106" s="28" t="inlineStr">
        <is>
          <t>FK</t>
        </is>
      </c>
      <c r="U106" s="49" t="n"/>
      <c r="V106" s="28" t="inlineStr">
        <is>
          <t>UK</t>
        </is>
      </c>
      <c r="W106" s="49" t="n"/>
      <c r="X106" s="28" t="inlineStr">
        <is>
          <t>Nota/Comentarios</t>
        </is>
      </c>
      <c r="Y106" s="49" t="n"/>
    </row>
    <row r="107" ht="45" customHeight="1" s="38">
      <c r="A107" s="52" t="n">
        <v>1</v>
      </c>
      <c r="B107" s="53" t="inlineStr">
        <is>
          <t>id_usuario_seguidor</t>
        </is>
      </c>
      <c r="C107" s="53" t="inlineStr">
        <is>
          <t>Usuario que sigue (parte de la PK)</t>
        </is>
      </c>
      <c r="D107" s="48" t="n"/>
      <c r="E107" s="48" t="n"/>
      <c r="F107" s="49" t="n"/>
      <c r="G107" s="54" t="inlineStr">
        <is>
          <t>INTEGER</t>
        </is>
      </c>
      <c r="H107" s="48" t="n"/>
      <c r="I107" s="48" t="n"/>
      <c r="J107" s="49" t="n"/>
      <c r="K107" s="54" t="inlineStr">
        <is>
          <t>4 bytes</t>
        </is>
      </c>
      <c r="L107" s="48" t="n"/>
      <c r="M107" s="48" t="n"/>
      <c r="N107" s="49" t="n"/>
      <c r="O107" s="54" t="inlineStr">
        <is>
          <t>No</t>
        </is>
      </c>
      <c r="P107" s="48" t="n"/>
      <c r="Q107" s="49" t="n"/>
      <c r="R107" s="54" t="inlineStr">
        <is>
          <t>S</t>
        </is>
      </c>
      <c r="S107" s="49" t="n"/>
      <c r="T107" s="54" t="inlineStr">
        <is>
          <t>S</t>
        </is>
      </c>
      <c r="U107" s="49" t="n"/>
      <c r="V107" s="54" t="n"/>
      <c r="W107" s="49" t="n"/>
      <c r="X107" s="53" t="inlineStr">
        <is>
          <t>Ref. usuario(id_usuario) ON DELETE CASCADE ON UPDATE CASCADE; CHECK (id_usuario_seguidor &lt;&gt; id_usuario_seguido)</t>
        </is>
      </c>
      <c r="Y107" s="49" t="n"/>
    </row>
    <row r="108" ht="45" customHeight="1" s="38">
      <c r="A108" s="52" t="n">
        <v>2</v>
      </c>
      <c r="B108" s="53" t="inlineStr">
        <is>
          <t>id_usuario_seguido</t>
        </is>
      </c>
      <c r="C108" s="53" t="inlineStr">
        <is>
          <t>Usuario seguido (parte de la PK)</t>
        </is>
      </c>
      <c r="D108" s="48" t="n"/>
      <c r="E108" s="48" t="n"/>
      <c r="F108" s="49" t="n"/>
      <c r="G108" s="54" t="inlineStr">
        <is>
          <t>INTEGER</t>
        </is>
      </c>
      <c r="H108" s="48" t="n"/>
      <c r="I108" s="48" t="n"/>
      <c r="J108" s="49" t="n"/>
      <c r="K108" s="54" t="inlineStr">
        <is>
          <t>4 bytes</t>
        </is>
      </c>
      <c r="L108" s="48" t="n"/>
      <c r="M108" s="48" t="n"/>
      <c r="N108" s="49" t="n"/>
      <c r="O108" s="54" t="inlineStr">
        <is>
          <t>No</t>
        </is>
      </c>
      <c r="P108" s="48" t="n"/>
      <c r="Q108" s="49" t="n"/>
      <c r="R108" s="54" t="inlineStr">
        <is>
          <t>S</t>
        </is>
      </c>
      <c r="S108" s="49" t="n"/>
      <c r="T108" s="54" t="inlineStr">
        <is>
          <t>S</t>
        </is>
      </c>
      <c r="U108" s="49" t="n"/>
      <c r="V108" s="54" t="n"/>
      <c r="W108" s="49" t="n"/>
      <c r="X108" s="53" t="inlineStr">
        <is>
          <t>Ref. usuario(id_usuario) ON DELETE CASCADE ON UPDATE CASCADE; CHECK (id_usuario_seguidor &lt;&gt; id_usuario_seguido)</t>
        </is>
      </c>
      <c r="Y108" s="49" t="n"/>
    </row>
    <row r="109" ht="30" customHeight="1" s="38">
      <c r="A109" s="52" t="n">
        <v>3</v>
      </c>
      <c r="B109" s="53" t="inlineStr">
        <is>
          <t>fecha_seguimiento</t>
        </is>
      </c>
      <c r="C109" s="53" t="inlineStr">
        <is>
          <t>Fecha y hora en que empezó a seguir</t>
        </is>
      </c>
      <c r="D109" s="48" t="n"/>
      <c r="E109" s="48" t="n"/>
      <c r="F109" s="49" t="n"/>
      <c r="G109" s="54" t="inlineStr">
        <is>
          <t>TIMESTAMP</t>
        </is>
      </c>
      <c r="H109" s="48" t="n"/>
      <c r="I109" s="48" t="n"/>
      <c r="J109" s="49" t="n"/>
      <c r="K109" s="54" t="inlineStr">
        <is>
          <t>8 bytes</t>
        </is>
      </c>
      <c r="L109" s="48" t="n"/>
      <c r="M109" s="48" t="n"/>
      <c r="N109" s="49" t="n"/>
      <c r="O109" s="54" t="inlineStr">
        <is>
          <t>No</t>
        </is>
      </c>
      <c r="P109" s="48" t="n"/>
      <c r="Q109" s="49" t="n"/>
      <c r="R109" s="54" t="n"/>
      <c r="S109" s="49" t="n"/>
      <c r="T109" s="54" t="n"/>
      <c r="U109" s="49" t="n"/>
      <c r="V109" s="54" t="n"/>
      <c r="W109" s="49" t="n"/>
      <c r="X109" s="53" t="inlineStr">
        <is>
          <t>DEFAULT CURRENT_TIMESTAMP</t>
        </is>
      </c>
      <c r="Y109" s="49" t="n"/>
    </row>
    <row r="110" ht="15.75" customHeight="1" s="38"/>
    <row r="111" ht="15.75" customHeight="1" s="38"/>
    <row r="112" ht="32" customHeight="1" s="38">
      <c r="A112" s="24" t="n">
        <v>9</v>
      </c>
      <c r="B112" s="30" t="inlineStr">
        <is>
          <t>Tabla</t>
        </is>
      </c>
      <c r="C112" s="29">
        <f>B12</f>
        <v/>
      </c>
      <c r="D112" s="48" t="n"/>
      <c r="E112" s="48" t="n"/>
      <c r="F112" s="49" t="n"/>
      <c r="G112" s="28" t="inlineStr">
        <is>
          <t>Descripción Tabla</t>
        </is>
      </c>
      <c r="H112" s="48" t="n"/>
      <c r="I112" s="48" t="n"/>
      <c r="J112" s="49" t="n"/>
      <c r="K112" s="51">
        <f>F12</f>
        <v/>
      </c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9" t="n"/>
      <c r="X112" s="28" t="inlineStr">
        <is>
          <t>Versión</t>
        </is>
      </c>
      <c r="Y112" s="29" t="inlineStr">
        <is>
          <t>3.0</t>
        </is>
      </c>
    </row>
    <row r="113" ht="41.25" customHeight="1" s="38">
      <c r="A113" s="28" t="inlineStr">
        <is>
          <t>#</t>
        </is>
      </c>
      <c r="B113" s="28" t="inlineStr">
        <is>
          <t>Campo</t>
        </is>
      </c>
      <c r="C113" s="28" t="inlineStr">
        <is>
          <t>Descripción Campo</t>
        </is>
      </c>
      <c r="D113" s="48" t="n"/>
      <c r="E113" s="48" t="n"/>
      <c r="F113" s="49" t="n"/>
      <c r="G113" s="28" t="inlineStr">
        <is>
          <t>Tipo Dato
(PostgreSQL)</t>
        </is>
      </c>
      <c r="H113" s="48" t="n"/>
      <c r="I113" s="48" t="n"/>
      <c r="J113" s="49" t="n"/>
      <c r="K113" s="28" t="inlineStr">
        <is>
          <t>Tamaño / Longitud</t>
        </is>
      </c>
      <c r="L113" s="48" t="n"/>
      <c r="M113" s="48" t="n"/>
      <c r="N113" s="49" t="n"/>
      <c r="O113" s="28" t="inlineStr">
        <is>
          <t>Nulo</t>
        </is>
      </c>
      <c r="P113" s="48" t="n"/>
      <c r="Q113" s="49" t="n"/>
      <c r="R113" s="28" t="inlineStr">
        <is>
          <t>PK</t>
        </is>
      </c>
      <c r="S113" s="49" t="n"/>
      <c r="T113" s="28" t="inlineStr">
        <is>
          <t>FK</t>
        </is>
      </c>
      <c r="U113" s="49" t="n"/>
      <c r="V113" s="28" t="inlineStr">
        <is>
          <t>UK</t>
        </is>
      </c>
      <c r="W113" s="49" t="n"/>
      <c r="X113" s="28" t="inlineStr">
        <is>
          <t>Nota/Comentarios</t>
        </is>
      </c>
      <c r="Y113" s="49" t="n"/>
    </row>
    <row r="114" ht="30" customHeight="1" s="38">
      <c r="A114" s="52" t="n">
        <v>1</v>
      </c>
      <c r="B114" s="53" t="inlineStr">
        <is>
          <t>id_publicacion</t>
        </is>
      </c>
      <c r="C114" s="53" t="inlineStr">
        <is>
          <t>Identificador único de la publicación</t>
        </is>
      </c>
      <c r="D114" s="48" t="n"/>
      <c r="E114" s="48" t="n"/>
      <c r="F114" s="49" t="n"/>
      <c r="G114" s="54" t="inlineStr">
        <is>
          <t>BIGINT</t>
        </is>
      </c>
      <c r="H114" s="48" t="n"/>
      <c r="I114" s="48" t="n"/>
      <c r="J114" s="49" t="n"/>
      <c r="K114" s="54" t="inlineStr">
        <is>
          <t>8 bytes</t>
        </is>
      </c>
      <c r="L114" s="48" t="n"/>
      <c r="M114" s="48" t="n"/>
      <c r="N114" s="49" t="n"/>
      <c r="O114" s="54" t="inlineStr">
        <is>
          <t>No</t>
        </is>
      </c>
      <c r="P114" s="48" t="n"/>
      <c r="Q114" s="49" t="n"/>
      <c r="R114" s="54" t="inlineStr">
        <is>
          <t>S</t>
        </is>
      </c>
      <c r="S114" s="49" t="n"/>
      <c r="T114" s="54" t="n"/>
      <c r="U114" s="49" t="n"/>
      <c r="V114" s="54" t="n"/>
      <c r="W114" s="49" t="n"/>
      <c r="X114" s="53" t="inlineStr">
        <is>
          <t>GENERATED ALWAYS AS IDENTITY</t>
        </is>
      </c>
      <c r="Y114" s="49" t="n"/>
    </row>
    <row r="115" ht="30" customHeight="1" s="38">
      <c r="A115" s="52" t="n">
        <v>2</v>
      </c>
      <c r="B115" s="53" t="inlineStr">
        <is>
          <t>id_usuario</t>
        </is>
      </c>
      <c r="C115" s="53" t="inlineStr">
        <is>
          <t>Usuario autor</t>
        </is>
      </c>
      <c r="D115" s="48" t="n"/>
      <c r="E115" s="48" t="n"/>
      <c r="F115" s="49" t="n"/>
      <c r="G115" s="54" t="inlineStr">
        <is>
          <t>INTEGER</t>
        </is>
      </c>
      <c r="H115" s="48" t="n"/>
      <c r="I115" s="48" t="n"/>
      <c r="J115" s="49" t="n"/>
      <c r="K115" s="54" t="inlineStr">
        <is>
          <t>4 bytes</t>
        </is>
      </c>
      <c r="L115" s="48" t="n"/>
      <c r="M115" s="48" t="n"/>
      <c r="N115" s="49" t="n"/>
      <c r="O115" s="54" t="inlineStr">
        <is>
          <t>No</t>
        </is>
      </c>
      <c r="P115" s="48" t="n"/>
      <c r="Q115" s="49" t="n"/>
      <c r="R115" s="54" t="n"/>
      <c r="S115" s="49" t="n"/>
      <c r="T115" s="54" t="inlineStr">
        <is>
          <t>S</t>
        </is>
      </c>
      <c r="U115" s="49" t="n"/>
      <c r="V115" s="54" t="n"/>
      <c r="W115" s="49" t="n"/>
      <c r="X115" s="53" t="inlineStr">
        <is>
          <t>Ref. usuario(id_usuario) ON DELETE RESTRICT ON UPDATE CASCADE</t>
        </is>
      </c>
      <c r="Y115" s="49" t="n"/>
    </row>
    <row r="116" ht="30" customHeight="1" s="38">
      <c r="A116" s="52" t="n">
        <v>3</v>
      </c>
      <c r="B116" s="53" t="inlineStr">
        <is>
          <t>id_grupo</t>
        </is>
      </c>
      <c r="C116" s="53" t="inlineStr">
        <is>
          <t>Grupo donde se publica (vacío = muro general)</t>
        </is>
      </c>
      <c r="D116" s="48" t="n"/>
      <c r="E116" s="48" t="n"/>
      <c r="F116" s="49" t="n"/>
      <c r="G116" s="54" t="inlineStr">
        <is>
          <t>INTEGER</t>
        </is>
      </c>
      <c r="H116" s="48" t="n"/>
      <c r="I116" s="48" t="n"/>
      <c r="J116" s="49" t="n"/>
      <c r="K116" s="54" t="inlineStr">
        <is>
          <t>4 bytes</t>
        </is>
      </c>
      <c r="L116" s="48" t="n"/>
      <c r="M116" s="48" t="n"/>
      <c r="N116" s="49" t="n"/>
      <c r="O116" s="54" t="inlineStr">
        <is>
          <t>Sí</t>
        </is>
      </c>
      <c r="P116" s="48" t="n"/>
      <c r="Q116" s="49" t="n"/>
      <c r="R116" s="54" t="n"/>
      <c r="S116" s="49" t="n"/>
      <c r="T116" s="54" t="inlineStr">
        <is>
          <t>S</t>
        </is>
      </c>
      <c r="U116" s="49" t="n"/>
      <c r="V116" s="54" t="n"/>
      <c r="W116" s="49" t="n"/>
      <c r="X116" s="53" t="inlineStr">
        <is>
          <t>Ref. grupo(id_grupo) ON DELETE SET NULL ON UPDATE CASCADE</t>
        </is>
      </c>
      <c r="Y116" s="49" t="n"/>
    </row>
    <row r="117" ht="30" customHeight="1" s="38">
      <c r="A117" s="52" t="n">
        <v>4</v>
      </c>
      <c r="B117" s="53" t="inlineStr">
        <is>
          <t>titulo_publicacion</t>
        </is>
      </c>
      <c r="C117" s="53" t="inlineStr">
        <is>
          <t>Encabezado corto</t>
        </is>
      </c>
      <c r="D117" s="48" t="n"/>
      <c r="E117" s="48" t="n"/>
      <c r="F117" s="49" t="n"/>
      <c r="G117" s="54" t="inlineStr">
        <is>
          <t>VARCHAR</t>
        </is>
      </c>
      <c r="H117" s="48" t="n"/>
      <c r="I117" s="48" t="n"/>
      <c r="J117" s="49" t="n"/>
      <c r="K117" s="54" t="inlineStr">
        <is>
          <t>150</t>
        </is>
      </c>
      <c r="L117" s="48" t="n"/>
      <c r="M117" s="48" t="n"/>
      <c r="N117" s="49" t="n"/>
      <c r="O117" s="54" t="inlineStr">
        <is>
          <t>Sí</t>
        </is>
      </c>
      <c r="P117" s="48" t="n"/>
      <c r="Q117" s="49" t="n"/>
      <c r="R117" s="54" t="n"/>
      <c r="S117" s="49" t="n"/>
      <c r="T117" s="54" t="n"/>
      <c r="U117" s="49" t="n"/>
      <c r="V117" s="54" t="n"/>
      <c r="W117" s="49" t="n"/>
      <c r="X117" s="53" t="n"/>
      <c r="Y117" s="49" t="n"/>
    </row>
    <row r="118" ht="30" customHeight="1" s="38">
      <c r="A118" s="52" t="n">
        <v>5</v>
      </c>
      <c r="B118" s="53" t="inlineStr">
        <is>
          <t>contenido_publicacion</t>
        </is>
      </c>
      <c r="C118" s="53" t="inlineStr">
        <is>
          <t>Texto completo de la publicación</t>
        </is>
      </c>
      <c r="D118" s="48" t="n"/>
      <c r="E118" s="48" t="n"/>
      <c r="F118" s="49" t="n"/>
      <c r="G118" s="54" t="inlineStr">
        <is>
          <t>TEXT</t>
        </is>
      </c>
      <c r="H118" s="48" t="n"/>
      <c r="I118" s="48" t="n"/>
      <c r="J118" s="49" t="n"/>
      <c r="K118" s="54" t="inlineStr">
        <is>
          <t>Variable</t>
        </is>
      </c>
      <c r="L118" s="48" t="n"/>
      <c r="M118" s="48" t="n"/>
      <c r="N118" s="49" t="n"/>
      <c r="O118" s="54" t="inlineStr">
        <is>
          <t>No</t>
        </is>
      </c>
      <c r="P118" s="48" t="n"/>
      <c r="Q118" s="49" t="n"/>
      <c r="R118" s="54" t="n"/>
      <c r="S118" s="49" t="n"/>
      <c r="T118" s="54" t="n"/>
      <c r="U118" s="49" t="n"/>
      <c r="V118" s="54" t="n"/>
      <c r="W118" s="49" t="n"/>
      <c r="X118" s="53" t="n"/>
      <c r="Y118" s="49" t="n"/>
    </row>
    <row r="119" ht="30" customHeight="1" s="38">
      <c r="A119" s="52" t="n">
        <v>6</v>
      </c>
      <c r="B119" s="53" t="inlineStr">
        <is>
          <t>url_multimedia</t>
        </is>
      </c>
      <c r="C119" s="53" t="inlineStr">
        <is>
          <t>Enlace al archivo adjunto (imagen o video)</t>
        </is>
      </c>
      <c r="D119" s="48" t="n"/>
      <c r="E119" s="48" t="n"/>
      <c r="F119" s="49" t="n"/>
      <c r="G119" s="54" t="inlineStr">
        <is>
          <t>VARCHAR</t>
        </is>
      </c>
      <c r="H119" s="48" t="n"/>
      <c r="I119" s="48" t="n"/>
      <c r="J119" s="49" t="n"/>
      <c r="K119" s="54" t="inlineStr">
        <is>
          <t>255</t>
        </is>
      </c>
      <c r="L119" s="48" t="n"/>
      <c r="M119" s="48" t="n"/>
      <c r="N119" s="49" t="n"/>
      <c r="O119" s="54" t="inlineStr">
        <is>
          <t>Sí</t>
        </is>
      </c>
      <c r="P119" s="48" t="n"/>
      <c r="Q119" s="49" t="n"/>
      <c r="R119" s="54" t="n"/>
      <c r="S119" s="49" t="n"/>
      <c r="T119" s="54" t="n"/>
      <c r="U119" s="49" t="n"/>
      <c r="V119" s="54" t="n"/>
      <c r="W119" s="49" t="n"/>
      <c r="X119" s="53" t="n"/>
      <c r="Y119" s="49" t="n"/>
    </row>
    <row r="120" ht="30" customHeight="1" s="38">
      <c r="A120" s="52" t="n">
        <v>7</v>
      </c>
      <c r="B120" s="53" t="inlineStr">
        <is>
          <t>fecha_publicacion</t>
        </is>
      </c>
      <c r="C120" s="53" t="inlineStr">
        <is>
          <t>Fecha y hora de publicación</t>
        </is>
      </c>
      <c r="D120" s="48" t="n"/>
      <c r="E120" s="48" t="n"/>
      <c r="F120" s="49" t="n"/>
      <c r="G120" s="54" t="inlineStr">
        <is>
          <t>TIMESTAMP</t>
        </is>
      </c>
      <c r="H120" s="48" t="n"/>
      <c r="I120" s="48" t="n"/>
      <c r="J120" s="49" t="n"/>
      <c r="K120" s="54" t="inlineStr">
        <is>
          <t>8 bytes</t>
        </is>
      </c>
      <c r="L120" s="48" t="n"/>
      <c r="M120" s="48" t="n"/>
      <c r="N120" s="49" t="n"/>
      <c r="O120" s="54" t="inlineStr">
        <is>
          <t>No</t>
        </is>
      </c>
      <c r="P120" s="48" t="n"/>
      <c r="Q120" s="49" t="n"/>
      <c r="R120" s="54" t="n"/>
      <c r="S120" s="49" t="n"/>
      <c r="T120" s="54" t="n"/>
      <c r="U120" s="49" t="n"/>
      <c r="V120" s="54" t="n"/>
      <c r="W120" s="49" t="n"/>
      <c r="X120" s="53" t="inlineStr">
        <is>
          <t>DEFAULT CURRENT_TIMESTAMP</t>
        </is>
      </c>
      <c r="Y120" s="49" t="n"/>
    </row>
    <row r="121" ht="30" customHeight="1" s="38">
      <c r="A121" s="52" t="n">
        <v>8</v>
      </c>
      <c r="B121" s="53" t="inlineStr">
        <is>
          <t>estado_publicacion</t>
        </is>
      </c>
      <c r="C121" s="53" t="inlineStr">
        <is>
          <t>Estado: visible, oculto, eliminado</t>
        </is>
      </c>
      <c r="D121" s="48" t="n"/>
      <c r="E121" s="48" t="n"/>
      <c r="F121" s="49" t="n"/>
      <c r="G121" s="54" t="inlineStr">
        <is>
          <t>VARCHAR</t>
        </is>
      </c>
      <c r="H121" s="48" t="n"/>
      <c r="I121" s="48" t="n"/>
      <c r="J121" s="49" t="n"/>
      <c r="K121" s="54" t="inlineStr">
        <is>
          <t>10</t>
        </is>
      </c>
      <c r="L121" s="48" t="n"/>
      <c r="M121" s="48" t="n"/>
      <c r="N121" s="49" t="n"/>
      <c r="O121" s="54" t="inlineStr">
        <is>
          <t>No</t>
        </is>
      </c>
      <c r="P121" s="48" t="n"/>
      <c r="Q121" s="49" t="n"/>
      <c r="R121" s="54" t="n"/>
      <c r="S121" s="49" t="n"/>
      <c r="T121" s="54" t="n"/>
      <c r="U121" s="49" t="n"/>
      <c r="V121" s="54" t="n"/>
      <c r="W121" s="49" t="n"/>
      <c r="X121" s="53" t="inlineStr">
        <is>
          <t>DEFAULT 'visible'; CHECK (estado_publicacion)IN ('visible', 'oculto', 'eliminado')</t>
        </is>
      </c>
      <c r="Y121" s="49" t="n"/>
    </row>
    <row r="122" ht="15.75" customHeight="1" s="38"/>
    <row r="123" ht="15.75" customHeight="1" s="38"/>
    <row r="124" ht="32" customHeight="1" s="38">
      <c r="A124" s="24" t="n">
        <v>10</v>
      </c>
      <c r="B124" s="30" t="inlineStr">
        <is>
          <t>Tabla</t>
        </is>
      </c>
      <c r="C124" s="29">
        <f>B13</f>
        <v/>
      </c>
      <c r="D124" s="48" t="n"/>
      <c r="E124" s="48" t="n"/>
      <c r="F124" s="49" t="n"/>
      <c r="G124" s="28" t="inlineStr">
        <is>
          <t>Descripción Tabla</t>
        </is>
      </c>
      <c r="H124" s="48" t="n"/>
      <c r="I124" s="48" t="n"/>
      <c r="J124" s="49" t="n"/>
      <c r="K124" s="51">
        <f>F13</f>
        <v/>
      </c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9" t="n"/>
      <c r="X124" s="28" t="inlineStr">
        <is>
          <t>Versión</t>
        </is>
      </c>
      <c r="Y124" s="29" t="inlineStr">
        <is>
          <t>3.0</t>
        </is>
      </c>
    </row>
    <row r="125" ht="41.25" customHeight="1" s="38">
      <c r="A125" s="28" t="inlineStr">
        <is>
          <t>#</t>
        </is>
      </c>
      <c r="B125" s="28" t="inlineStr">
        <is>
          <t>Campo</t>
        </is>
      </c>
      <c r="C125" s="28" t="inlineStr">
        <is>
          <t>Descripción Campo</t>
        </is>
      </c>
      <c r="D125" s="48" t="n"/>
      <c r="E125" s="48" t="n"/>
      <c r="F125" s="49" t="n"/>
      <c r="G125" s="28" t="inlineStr">
        <is>
          <t>Tipo Dato
(PostgreSQL)</t>
        </is>
      </c>
      <c r="H125" s="48" t="n"/>
      <c r="I125" s="48" t="n"/>
      <c r="J125" s="49" t="n"/>
      <c r="K125" s="28" t="inlineStr">
        <is>
          <t>Tamaño / Longitud</t>
        </is>
      </c>
      <c r="L125" s="48" t="n"/>
      <c r="M125" s="48" t="n"/>
      <c r="N125" s="49" t="n"/>
      <c r="O125" s="28" t="inlineStr">
        <is>
          <t>Nulo</t>
        </is>
      </c>
      <c r="P125" s="48" t="n"/>
      <c r="Q125" s="49" t="n"/>
      <c r="R125" s="28" t="inlineStr">
        <is>
          <t>PK</t>
        </is>
      </c>
      <c r="S125" s="49" t="n"/>
      <c r="T125" s="28" t="inlineStr">
        <is>
          <t>FK</t>
        </is>
      </c>
      <c r="U125" s="49" t="n"/>
      <c r="V125" s="28" t="inlineStr">
        <is>
          <t>UK</t>
        </is>
      </c>
      <c r="W125" s="49" t="n"/>
      <c r="X125" s="28" t="inlineStr">
        <is>
          <t>Nota/Comentarios</t>
        </is>
      </c>
      <c r="Y125" s="49" t="n"/>
    </row>
    <row r="126" ht="30" customHeight="1" s="38">
      <c r="A126" s="52" t="n">
        <v>1</v>
      </c>
      <c r="B126" s="53" t="inlineStr">
        <is>
          <t>id_comentario</t>
        </is>
      </c>
      <c r="C126" s="53" t="inlineStr">
        <is>
          <t>Identificador único del comentario</t>
        </is>
      </c>
      <c r="D126" s="48" t="n"/>
      <c r="E126" s="48" t="n"/>
      <c r="F126" s="49" t="n"/>
      <c r="G126" s="54" t="inlineStr">
        <is>
          <t>BIGINT</t>
        </is>
      </c>
      <c r="H126" s="48" t="n"/>
      <c r="I126" s="48" t="n"/>
      <c r="J126" s="49" t="n"/>
      <c r="K126" s="54" t="inlineStr">
        <is>
          <t>8 bytes</t>
        </is>
      </c>
      <c r="L126" s="48" t="n"/>
      <c r="M126" s="48" t="n"/>
      <c r="N126" s="49" t="n"/>
      <c r="O126" s="54" t="inlineStr">
        <is>
          <t>No</t>
        </is>
      </c>
      <c r="P126" s="48" t="n"/>
      <c r="Q126" s="49" t="n"/>
      <c r="R126" s="54" t="inlineStr">
        <is>
          <t>S</t>
        </is>
      </c>
      <c r="S126" s="49" t="n"/>
      <c r="T126" s="54" t="n"/>
      <c r="U126" s="49" t="n"/>
      <c r="V126" s="54" t="n"/>
      <c r="W126" s="49" t="n"/>
      <c r="X126" s="53" t="inlineStr">
        <is>
          <t>GENERATED ALWAYS AS IDENTITY</t>
        </is>
      </c>
      <c r="Y126" s="49" t="n"/>
    </row>
    <row r="127" ht="30" customHeight="1" s="38">
      <c r="A127" s="52" t="n">
        <v>2</v>
      </c>
      <c r="B127" s="53" t="inlineStr">
        <is>
          <t>id_publicacion</t>
        </is>
      </c>
      <c r="C127" s="53" t="inlineStr">
        <is>
          <t>Publicación comentada</t>
        </is>
      </c>
      <c r="D127" s="48" t="n"/>
      <c r="E127" s="48" t="n"/>
      <c r="F127" s="49" t="n"/>
      <c r="G127" s="54" t="inlineStr">
        <is>
          <t>BIGINT</t>
        </is>
      </c>
      <c r="H127" s="48" t="n"/>
      <c r="I127" s="48" t="n"/>
      <c r="J127" s="49" t="n"/>
      <c r="K127" s="54" t="inlineStr">
        <is>
          <t>8 bytes</t>
        </is>
      </c>
      <c r="L127" s="48" t="n"/>
      <c r="M127" s="48" t="n"/>
      <c r="N127" s="49" t="n"/>
      <c r="O127" s="54" t="inlineStr">
        <is>
          <t>No</t>
        </is>
      </c>
      <c r="P127" s="48" t="n"/>
      <c r="Q127" s="49" t="n"/>
      <c r="R127" s="54" t="n"/>
      <c r="S127" s="49" t="n"/>
      <c r="T127" s="54" t="inlineStr">
        <is>
          <t>S</t>
        </is>
      </c>
      <c r="U127" s="49" t="n"/>
      <c r="V127" s="54" t="n"/>
      <c r="W127" s="49" t="n"/>
      <c r="X127" s="53" t="inlineStr">
        <is>
          <t>Ref. publicacion(id_publicacion) ON DELETE CASCADE ON UPDATE CASCADE</t>
        </is>
      </c>
      <c r="Y127" s="49" t="n"/>
    </row>
    <row r="128" ht="30" customHeight="1" s="38">
      <c r="A128" s="52" t="n">
        <v>3</v>
      </c>
      <c r="B128" s="53" t="inlineStr">
        <is>
          <t>id_usuario</t>
        </is>
      </c>
      <c r="C128" s="53" t="inlineStr">
        <is>
          <t>Usuario que comenta</t>
        </is>
      </c>
      <c r="D128" s="48" t="n"/>
      <c r="E128" s="48" t="n"/>
      <c r="F128" s="49" t="n"/>
      <c r="G128" s="54" t="inlineStr">
        <is>
          <t>INTEGER</t>
        </is>
      </c>
      <c r="H128" s="48" t="n"/>
      <c r="I128" s="48" t="n"/>
      <c r="J128" s="49" t="n"/>
      <c r="K128" s="54" t="inlineStr">
        <is>
          <t>4 bytes</t>
        </is>
      </c>
      <c r="L128" s="48" t="n"/>
      <c r="M128" s="48" t="n"/>
      <c r="N128" s="49" t="n"/>
      <c r="O128" s="54" t="inlineStr">
        <is>
          <t>No</t>
        </is>
      </c>
      <c r="P128" s="48" t="n"/>
      <c r="Q128" s="49" t="n"/>
      <c r="R128" s="54" t="n"/>
      <c r="S128" s="49" t="n"/>
      <c r="T128" s="54" t="inlineStr">
        <is>
          <t>S</t>
        </is>
      </c>
      <c r="U128" s="49" t="n"/>
      <c r="V128" s="54" t="n"/>
      <c r="W128" s="49" t="n"/>
      <c r="X128" s="53" t="inlineStr">
        <is>
          <t>Ref. usuario(id_usuario) ON DELETE RESTRICT ON UPDATE CASCADE</t>
        </is>
      </c>
      <c r="Y128" s="49" t="n"/>
    </row>
    <row r="129" ht="30" customHeight="1" s="38">
      <c r="A129" s="52" t="n">
        <v>4</v>
      </c>
      <c r="B129" s="53" t="inlineStr">
        <is>
          <t>texto_comentario</t>
        </is>
      </c>
      <c r="C129" s="53" t="inlineStr">
        <is>
          <t>Texto del comentario</t>
        </is>
      </c>
      <c r="D129" s="48" t="n"/>
      <c r="E129" s="48" t="n"/>
      <c r="F129" s="49" t="n"/>
      <c r="G129" s="54" t="inlineStr">
        <is>
          <t>VARCHAR</t>
        </is>
      </c>
      <c r="H129" s="48" t="n"/>
      <c r="I129" s="48" t="n"/>
      <c r="J129" s="49" t="n"/>
      <c r="K129" s="54" t="inlineStr">
        <is>
          <t>1000</t>
        </is>
      </c>
      <c r="L129" s="48" t="n"/>
      <c r="M129" s="48" t="n"/>
      <c r="N129" s="49" t="n"/>
      <c r="O129" s="54" t="inlineStr">
        <is>
          <t>No</t>
        </is>
      </c>
      <c r="P129" s="48" t="n"/>
      <c r="Q129" s="49" t="n"/>
      <c r="R129" s="54" t="n"/>
      <c r="S129" s="49" t="n"/>
      <c r="T129" s="54" t="n"/>
      <c r="U129" s="49" t="n"/>
      <c r="V129" s="54" t="n"/>
      <c r="W129" s="49" t="n"/>
      <c r="X129" s="53" t="n"/>
      <c r="Y129" s="49" t="n"/>
    </row>
    <row r="130" ht="30" customHeight="1" s="38">
      <c r="A130" s="52" t="n">
        <v>5</v>
      </c>
      <c r="B130" s="53" t="inlineStr">
        <is>
          <t>fecha_comentario</t>
        </is>
      </c>
      <c r="C130" s="53" t="inlineStr">
        <is>
          <t>Fecha y hora del comentario</t>
        </is>
      </c>
      <c r="D130" s="48" t="n"/>
      <c r="E130" s="48" t="n"/>
      <c r="F130" s="49" t="n"/>
      <c r="G130" s="54" t="inlineStr">
        <is>
          <t>TIMESTAMP</t>
        </is>
      </c>
      <c r="H130" s="48" t="n"/>
      <c r="I130" s="48" t="n"/>
      <c r="J130" s="49" t="n"/>
      <c r="K130" s="54" t="inlineStr">
        <is>
          <t>8 bytes</t>
        </is>
      </c>
      <c r="L130" s="48" t="n"/>
      <c r="M130" s="48" t="n"/>
      <c r="N130" s="49" t="n"/>
      <c r="O130" s="54" t="inlineStr">
        <is>
          <t>No</t>
        </is>
      </c>
      <c r="P130" s="48" t="n"/>
      <c r="Q130" s="49" t="n"/>
      <c r="R130" s="54" t="n"/>
      <c r="S130" s="49" t="n"/>
      <c r="T130" s="54" t="n"/>
      <c r="U130" s="49" t="n"/>
      <c r="V130" s="54" t="n"/>
      <c r="W130" s="49" t="n"/>
      <c r="X130" s="53" t="inlineStr">
        <is>
          <t>DEFAULT CURRENT_TIMESTAMP</t>
        </is>
      </c>
      <c r="Y130" s="49" t="n"/>
    </row>
    <row r="131" ht="30" customHeight="1" s="38">
      <c r="A131" s="52" t="n">
        <v>6</v>
      </c>
      <c r="B131" s="53" t="inlineStr">
        <is>
          <t>estado_comentario</t>
        </is>
      </c>
      <c r="C131" s="53" t="inlineStr">
        <is>
          <t>Estado: visible, oculto, eliminado</t>
        </is>
      </c>
      <c r="D131" s="48" t="n"/>
      <c r="E131" s="48" t="n"/>
      <c r="F131" s="49" t="n"/>
      <c r="G131" s="54" t="inlineStr">
        <is>
          <t>VARCHAR</t>
        </is>
      </c>
      <c r="H131" s="48" t="n"/>
      <c r="I131" s="48" t="n"/>
      <c r="J131" s="49" t="n"/>
      <c r="K131" s="54" t="inlineStr">
        <is>
          <t>10</t>
        </is>
      </c>
      <c r="L131" s="48" t="n"/>
      <c r="M131" s="48" t="n"/>
      <c r="N131" s="49" t="n"/>
      <c r="O131" s="54" t="inlineStr">
        <is>
          <t>No</t>
        </is>
      </c>
      <c r="P131" s="48" t="n"/>
      <c r="Q131" s="49" t="n"/>
      <c r="R131" s="54" t="n"/>
      <c r="S131" s="49" t="n"/>
      <c r="T131" s="54" t="n"/>
      <c r="U131" s="49" t="n"/>
      <c r="V131" s="54" t="n"/>
      <c r="W131" s="49" t="n"/>
      <c r="X131" s="53" t="inlineStr">
        <is>
          <t>DEFAULT 'visible'; CHECK (estado_comentario)IN ('visible', 'oculto', 'eliminado')</t>
        </is>
      </c>
      <c r="Y131" s="49" t="n"/>
    </row>
    <row r="132" ht="15.75" customHeight="1" s="38"/>
    <row r="133" ht="15.75" customHeight="1" s="38"/>
    <row r="134" ht="32" customHeight="1" s="38">
      <c r="A134" s="24" t="n">
        <v>11</v>
      </c>
      <c r="B134" s="30" t="inlineStr">
        <is>
          <t>Tabla</t>
        </is>
      </c>
      <c r="C134" s="29">
        <f>B14</f>
        <v/>
      </c>
      <c r="D134" s="48" t="n"/>
      <c r="E134" s="48" t="n"/>
      <c r="F134" s="49" t="n"/>
      <c r="G134" s="28" t="inlineStr">
        <is>
          <t>Descripción Tabla</t>
        </is>
      </c>
      <c r="H134" s="48" t="n"/>
      <c r="I134" s="48" t="n"/>
      <c r="J134" s="49" t="n"/>
      <c r="K134" s="51">
        <f>F14</f>
        <v/>
      </c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9" t="n"/>
      <c r="X134" s="28" t="inlineStr">
        <is>
          <t>Versión</t>
        </is>
      </c>
      <c r="Y134" s="29" t="inlineStr">
        <is>
          <t>3.0</t>
        </is>
      </c>
    </row>
    <row r="135" ht="41.25" customHeight="1" s="38">
      <c r="A135" s="28" t="inlineStr">
        <is>
          <t>#</t>
        </is>
      </c>
      <c r="B135" s="28" t="inlineStr">
        <is>
          <t>Campo</t>
        </is>
      </c>
      <c r="C135" s="28" t="inlineStr">
        <is>
          <t>Descripción Campo</t>
        </is>
      </c>
      <c r="D135" s="48" t="n"/>
      <c r="E135" s="48" t="n"/>
      <c r="F135" s="49" t="n"/>
      <c r="G135" s="28" t="inlineStr">
        <is>
          <t>Tipo Dato
(PostgreSQL)</t>
        </is>
      </c>
      <c r="H135" s="48" t="n"/>
      <c r="I135" s="48" t="n"/>
      <c r="J135" s="49" t="n"/>
      <c r="K135" s="28" t="inlineStr">
        <is>
          <t>Tamaño / Longitud</t>
        </is>
      </c>
      <c r="L135" s="48" t="n"/>
      <c r="M135" s="48" t="n"/>
      <c r="N135" s="49" t="n"/>
      <c r="O135" s="28" t="inlineStr">
        <is>
          <t>Nulo</t>
        </is>
      </c>
      <c r="P135" s="48" t="n"/>
      <c r="Q135" s="49" t="n"/>
      <c r="R135" s="28" t="inlineStr">
        <is>
          <t>PK</t>
        </is>
      </c>
      <c r="S135" s="49" t="n"/>
      <c r="T135" s="28" t="inlineStr">
        <is>
          <t>FK</t>
        </is>
      </c>
      <c r="U135" s="49" t="n"/>
      <c r="V135" s="28" t="inlineStr">
        <is>
          <t>UK</t>
        </is>
      </c>
      <c r="W135" s="49" t="n"/>
      <c r="X135" s="28" t="inlineStr">
        <is>
          <t>Nota/Comentarios</t>
        </is>
      </c>
      <c r="Y135" s="49" t="n"/>
    </row>
    <row r="136" ht="30" customHeight="1" s="38">
      <c r="A136" s="52" t="n">
        <v>1</v>
      </c>
      <c r="B136" s="53" t="inlineStr">
        <is>
          <t>id_publicacion</t>
        </is>
      </c>
      <c r="C136" s="53" t="inlineStr">
        <is>
          <t>Publicación reaccionada (parte de la PK)</t>
        </is>
      </c>
      <c r="D136" s="48" t="n"/>
      <c r="E136" s="48" t="n"/>
      <c r="F136" s="49" t="n"/>
      <c r="G136" s="54" t="inlineStr">
        <is>
          <t>BIGINT</t>
        </is>
      </c>
      <c r="H136" s="48" t="n"/>
      <c r="I136" s="48" t="n"/>
      <c r="J136" s="49" t="n"/>
      <c r="K136" s="54" t="inlineStr">
        <is>
          <t>8 bytes</t>
        </is>
      </c>
      <c r="L136" s="48" t="n"/>
      <c r="M136" s="48" t="n"/>
      <c r="N136" s="49" t="n"/>
      <c r="O136" s="54" t="inlineStr">
        <is>
          <t>No</t>
        </is>
      </c>
      <c r="P136" s="48" t="n"/>
      <c r="Q136" s="49" t="n"/>
      <c r="R136" s="54" t="inlineStr">
        <is>
          <t>S</t>
        </is>
      </c>
      <c r="S136" s="49" t="n"/>
      <c r="T136" s="54" t="inlineStr">
        <is>
          <t>S</t>
        </is>
      </c>
      <c r="U136" s="49" t="n"/>
      <c r="V136" s="54" t="n"/>
      <c r="W136" s="49" t="n"/>
      <c r="X136" s="53" t="inlineStr">
        <is>
          <t>Ref. publicacion(id_publicacion) ON DELETE CASCADE ON UPDATE CASCADE</t>
        </is>
      </c>
      <c r="Y136" s="49" t="n"/>
    </row>
    <row r="137" ht="30" customHeight="1" s="38">
      <c r="A137" s="52" t="n">
        <v>2</v>
      </c>
      <c r="B137" s="53" t="inlineStr">
        <is>
          <t>id_usuario</t>
        </is>
      </c>
      <c r="C137" s="53" t="inlineStr">
        <is>
          <t>Usuario que reacciona (parte de la PK)</t>
        </is>
      </c>
      <c r="D137" s="48" t="n"/>
      <c r="E137" s="48" t="n"/>
      <c r="F137" s="49" t="n"/>
      <c r="G137" s="54" t="inlineStr">
        <is>
          <t>INTEGER</t>
        </is>
      </c>
      <c r="H137" s="48" t="n"/>
      <c r="I137" s="48" t="n"/>
      <c r="J137" s="49" t="n"/>
      <c r="K137" s="54" t="inlineStr">
        <is>
          <t>4 bytes</t>
        </is>
      </c>
      <c r="L137" s="48" t="n"/>
      <c r="M137" s="48" t="n"/>
      <c r="N137" s="49" t="n"/>
      <c r="O137" s="54" t="inlineStr">
        <is>
          <t>No</t>
        </is>
      </c>
      <c r="P137" s="48" t="n"/>
      <c r="Q137" s="49" t="n"/>
      <c r="R137" s="54" t="inlineStr">
        <is>
          <t>S</t>
        </is>
      </c>
      <c r="S137" s="49" t="n"/>
      <c r="T137" s="54" t="inlineStr">
        <is>
          <t>S</t>
        </is>
      </c>
      <c r="U137" s="49" t="n"/>
      <c r="V137" s="54" t="n"/>
      <c r="W137" s="49" t="n"/>
      <c r="X137" s="53" t="inlineStr">
        <is>
          <t>Ref. usuario(id_usuario) ON DELETE CASCADE ON UPDATE CASCADE</t>
        </is>
      </c>
      <c r="Y137" s="49" t="n"/>
    </row>
    <row r="138" ht="45" customHeight="1" s="38">
      <c r="A138" s="52" t="n">
        <v>3</v>
      </c>
      <c r="B138" s="53" t="inlineStr">
        <is>
          <t>tipo_reaccion</t>
        </is>
      </c>
      <c r="C138" s="53" t="inlineStr">
        <is>
          <t>Tipo: me_gusta, me_encanta, me_divierte, me_sorprende</t>
        </is>
      </c>
      <c r="D138" s="48" t="n"/>
      <c r="E138" s="48" t="n"/>
      <c r="F138" s="49" t="n"/>
      <c r="G138" s="54" t="inlineStr">
        <is>
          <t>VARCHAR</t>
        </is>
      </c>
      <c r="H138" s="48" t="n"/>
      <c r="I138" s="48" t="n"/>
      <c r="J138" s="49" t="n"/>
      <c r="K138" s="54" t="inlineStr">
        <is>
          <t>12</t>
        </is>
      </c>
      <c r="L138" s="48" t="n"/>
      <c r="M138" s="48" t="n"/>
      <c r="N138" s="49" t="n"/>
      <c r="O138" s="54" t="inlineStr">
        <is>
          <t>No</t>
        </is>
      </c>
      <c r="P138" s="48" t="n"/>
      <c r="Q138" s="49" t="n"/>
      <c r="R138" s="54" t="n"/>
      <c r="S138" s="49" t="n"/>
      <c r="T138" s="54" t="n"/>
      <c r="U138" s="49" t="n"/>
      <c r="V138" s="54" t="n"/>
      <c r="W138" s="49" t="n"/>
      <c r="X138" s="53" t="inlineStr">
        <is>
          <t>DEFAULT 'me_gusta'; CHECK (tipo_reaccion)IN ('me_gusta', 'me_encanta', 'me_divierte', 'me_sorprende')</t>
        </is>
      </c>
      <c r="Y138" s="49" t="n"/>
    </row>
    <row r="139" ht="30" customHeight="1" s="38">
      <c r="A139" s="52" t="n">
        <v>4</v>
      </c>
      <c r="B139" s="53" t="inlineStr">
        <is>
          <t>fecha_reaccion</t>
        </is>
      </c>
      <c r="C139" s="53" t="inlineStr">
        <is>
          <t>Fecha y hora de la reacción</t>
        </is>
      </c>
      <c r="D139" s="48" t="n"/>
      <c r="E139" s="48" t="n"/>
      <c r="F139" s="49" t="n"/>
      <c r="G139" s="54" t="inlineStr">
        <is>
          <t>TIMESTAMP</t>
        </is>
      </c>
      <c r="H139" s="48" t="n"/>
      <c r="I139" s="48" t="n"/>
      <c r="J139" s="49" t="n"/>
      <c r="K139" s="54" t="inlineStr">
        <is>
          <t>8 bytes</t>
        </is>
      </c>
      <c r="L139" s="48" t="n"/>
      <c r="M139" s="48" t="n"/>
      <c r="N139" s="49" t="n"/>
      <c r="O139" s="54" t="inlineStr">
        <is>
          <t>No</t>
        </is>
      </c>
      <c r="P139" s="48" t="n"/>
      <c r="Q139" s="49" t="n"/>
      <c r="R139" s="54" t="n"/>
      <c r="S139" s="49" t="n"/>
      <c r="T139" s="54" t="n"/>
      <c r="U139" s="49" t="n"/>
      <c r="V139" s="54" t="n"/>
      <c r="W139" s="49" t="n"/>
      <c r="X139" s="53" t="inlineStr">
        <is>
          <t>DEFAULT CURRENT_TIMESTAMP</t>
        </is>
      </c>
      <c r="Y139" s="49" t="n"/>
    </row>
    <row r="140" ht="15.75" customHeight="1" s="38"/>
    <row r="141" ht="15.75" customHeight="1" s="38"/>
    <row r="142" ht="32" customHeight="1" s="38">
      <c r="A142" s="24" t="n">
        <v>12</v>
      </c>
      <c r="B142" s="30" t="inlineStr">
        <is>
          <t>Tabla</t>
        </is>
      </c>
      <c r="C142" s="29">
        <f>B15</f>
        <v/>
      </c>
      <c r="D142" s="48" t="n"/>
      <c r="E142" s="48" t="n"/>
      <c r="F142" s="49" t="n"/>
      <c r="G142" s="28" t="inlineStr">
        <is>
          <t>Descripción Tabla</t>
        </is>
      </c>
      <c r="H142" s="48" t="n"/>
      <c r="I142" s="48" t="n"/>
      <c r="J142" s="49" t="n"/>
      <c r="K142" s="51">
        <f>F15</f>
        <v/>
      </c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9" t="n"/>
      <c r="X142" s="28" t="inlineStr">
        <is>
          <t>Versión</t>
        </is>
      </c>
      <c r="Y142" s="29" t="inlineStr">
        <is>
          <t>3.0</t>
        </is>
      </c>
    </row>
    <row r="143" ht="41.25" customHeight="1" s="38">
      <c r="A143" s="28" t="inlineStr">
        <is>
          <t>#</t>
        </is>
      </c>
      <c r="B143" s="28" t="inlineStr">
        <is>
          <t>Campo</t>
        </is>
      </c>
      <c r="C143" s="28" t="inlineStr">
        <is>
          <t>Descripción Campo</t>
        </is>
      </c>
      <c r="D143" s="48" t="n"/>
      <c r="E143" s="48" t="n"/>
      <c r="F143" s="49" t="n"/>
      <c r="G143" s="28" t="inlineStr">
        <is>
          <t>Tipo Dato
(PostgreSQL)</t>
        </is>
      </c>
      <c r="H143" s="48" t="n"/>
      <c r="I143" s="48" t="n"/>
      <c r="J143" s="49" t="n"/>
      <c r="K143" s="28" t="inlineStr">
        <is>
          <t>Tamaño / Longitud</t>
        </is>
      </c>
      <c r="L143" s="48" t="n"/>
      <c r="M143" s="48" t="n"/>
      <c r="N143" s="49" t="n"/>
      <c r="O143" s="28" t="inlineStr">
        <is>
          <t>Nulo</t>
        </is>
      </c>
      <c r="P143" s="48" t="n"/>
      <c r="Q143" s="49" t="n"/>
      <c r="R143" s="28" t="inlineStr">
        <is>
          <t>PK</t>
        </is>
      </c>
      <c r="S143" s="49" t="n"/>
      <c r="T143" s="28" t="inlineStr">
        <is>
          <t>FK</t>
        </is>
      </c>
      <c r="U143" s="49" t="n"/>
      <c r="V143" s="28" t="inlineStr">
        <is>
          <t>UK</t>
        </is>
      </c>
      <c r="W143" s="49" t="n"/>
      <c r="X143" s="28" t="inlineStr">
        <is>
          <t>Nota/Comentarios</t>
        </is>
      </c>
      <c r="Y143" s="49" t="n"/>
    </row>
    <row r="144" ht="30" customHeight="1" s="38">
      <c r="A144" s="52" t="n">
        <v>1</v>
      </c>
      <c r="B144" s="53" t="inlineStr">
        <is>
          <t>id_mensaje</t>
        </is>
      </c>
      <c r="C144" s="53" t="inlineStr">
        <is>
          <t>Identificador único del mensaje</t>
        </is>
      </c>
      <c r="D144" s="48" t="n"/>
      <c r="E144" s="48" t="n"/>
      <c r="F144" s="49" t="n"/>
      <c r="G144" s="54" t="inlineStr">
        <is>
          <t>BIGINT</t>
        </is>
      </c>
      <c r="H144" s="48" t="n"/>
      <c r="I144" s="48" t="n"/>
      <c r="J144" s="49" t="n"/>
      <c r="K144" s="54" t="inlineStr">
        <is>
          <t>8 bytes</t>
        </is>
      </c>
      <c r="L144" s="48" t="n"/>
      <c r="M144" s="48" t="n"/>
      <c r="N144" s="49" t="n"/>
      <c r="O144" s="54" t="inlineStr">
        <is>
          <t>No</t>
        </is>
      </c>
      <c r="P144" s="48" t="n"/>
      <c r="Q144" s="49" t="n"/>
      <c r="R144" s="54" t="inlineStr">
        <is>
          <t>S</t>
        </is>
      </c>
      <c r="S144" s="49" t="n"/>
      <c r="T144" s="54" t="n"/>
      <c r="U144" s="49" t="n"/>
      <c r="V144" s="54" t="n"/>
      <c r="W144" s="49" t="n"/>
      <c r="X144" s="53" t="inlineStr">
        <is>
          <t>GENERATED ALWAYS AS IDENTITY</t>
        </is>
      </c>
      <c r="Y144" s="49" t="n"/>
    </row>
    <row r="145" ht="45" customHeight="1" s="38">
      <c r="A145" s="52" t="n">
        <v>2</v>
      </c>
      <c r="B145" s="53" t="inlineStr">
        <is>
          <t>id_usuario_remitente</t>
        </is>
      </c>
      <c r="C145" s="53" t="inlineStr">
        <is>
          <t>Usuario que envía</t>
        </is>
      </c>
      <c r="D145" s="48" t="n"/>
      <c r="E145" s="48" t="n"/>
      <c r="F145" s="49" t="n"/>
      <c r="G145" s="54" t="inlineStr">
        <is>
          <t>INTEGER</t>
        </is>
      </c>
      <c r="H145" s="48" t="n"/>
      <c r="I145" s="48" t="n"/>
      <c r="J145" s="49" t="n"/>
      <c r="K145" s="54" t="inlineStr">
        <is>
          <t>4 bytes</t>
        </is>
      </c>
      <c r="L145" s="48" t="n"/>
      <c r="M145" s="48" t="n"/>
      <c r="N145" s="49" t="n"/>
      <c r="O145" s="54" t="inlineStr">
        <is>
          <t>No</t>
        </is>
      </c>
      <c r="P145" s="48" t="n"/>
      <c r="Q145" s="49" t="n"/>
      <c r="R145" s="54" t="n"/>
      <c r="S145" s="49" t="n"/>
      <c r="T145" s="54" t="inlineStr">
        <is>
          <t>S</t>
        </is>
      </c>
      <c r="U145" s="49" t="n"/>
      <c r="V145" s="54" t="n"/>
      <c r="W145" s="49" t="n"/>
      <c r="X145" s="53" t="inlineStr">
        <is>
          <t>Ref. usuario(id_usuario) ON DELETE RESTRICT ON UPDATE CASCADE; CHECK (id_usuario_remitente &lt;&gt; id_usuario_destinatario)</t>
        </is>
      </c>
      <c r="Y145" s="49" t="n"/>
    </row>
    <row r="146" ht="45" customHeight="1" s="38">
      <c r="A146" s="52" t="n">
        <v>3</v>
      </c>
      <c r="B146" s="53" t="inlineStr">
        <is>
          <t>id_usuario_destinatario</t>
        </is>
      </c>
      <c r="C146" s="53" t="inlineStr">
        <is>
          <t>Usuario que recibe</t>
        </is>
      </c>
      <c r="D146" s="48" t="n"/>
      <c r="E146" s="48" t="n"/>
      <c r="F146" s="49" t="n"/>
      <c r="G146" s="54" t="inlineStr">
        <is>
          <t>INTEGER</t>
        </is>
      </c>
      <c r="H146" s="48" t="n"/>
      <c r="I146" s="48" t="n"/>
      <c r="J146" s="49" t="n"/>
      <c r="K146" s="54" t="inlineStr">
        <is>
          <t>4 bytes</t>
        </is>
      </c>
      <c r="L146" s="48" t="n"/>
      <c r="M146" s="48" t="n"/>
      <c r="N146" s="49" t="n"/>
      <c r="O146" s="54" t="inlineStr">
        <is>
          <t>No</t>
        </is>
      </c>
      <c r="P146" s="48" t="n"/>
      <c r="Q146" s="49" t="n"/>
      <c r="R146" s="54" t="n"/>
      <c r="S146" s="49" t="n"/>
      <c r="T146" s="54" t="inlineStr">
        <is>
          <t>S</t>
        </is>
      </c>
      <c r="U146" s="49" t="n"/>
      <c r="V146" s="54" t="n"/>
      <c r="W146" s="49" t="n"/>
      <c r="X146" s="53" t="inlineStr">
        <is>
          <t>Ref. usuario(id_usuario) ON DELETE RESTRICT ON UPDATE CASCADE; CHECK (id_usuario_remitente &lt;&gt; id_usuario_destinatario)</t>
        </is>
      </c>
      <c r="Y146" s="49" t="n"/>
    </row>
    <row r="147" ht="30" customHeight="1" s="38">
      <c r="A147" s="52" t="n">
        <v>4</v>
      </c>
      <c r="B147" s="53" t="inlineStr">
        <is>
          <t>asunto_mensaje</t>
        </is>
      </c>
      <c r="C147" s="53" t="inlineStr">
        <is>
          <t>Asunto breve</t>
        </is>
      </c>
      <c r="D147" s="48" t="n"/>
      <c r="E147" s="48" t="n"/>
      <c r="F147" s="49" t="n"/>
      <c r="G147" s="54" t="inlineStr">
        <is>
          <t>VARCHAR</t>
        </is>
      </c>
      <c r="H147" s="48" t="n"/>
      <c r="I147" s="48" t="n"/>
      <c r="J147" s="49" t="n"/>
      <c r="K147" s="54" t="inlineStr">
        <is>
          <t>150</t>
        </is>
      </c>
      <c r="L147" s="48" t="n"/>
      <c r="M147" s="48" t="n"/>
      <c r="N147" s="49" t="n"/>
      <c r="O147" s="54" t="inlineStr">
        <is>
          <t>Sí</t>
        </is>
      </c>
      <c r="P147" s="48" t="n"/>
      <c r="Q147" s="49" t="n"/>
      <c r="R147" s="54" t="n"/>
      <c r="S147" s="49" t="n"/>
      <c r="T147" s="54" t="n"/>
      <c r="U147" s="49" t="n"/>
      <c r="V147" s="54" t="n"/>
      <c r="W147" s="49" t="n"/>
      <c r="X147" s="53" t="n"/>
      <c r="Y147" s="49" t="n"/>
    </row>
    <row r="148" ht="30" customHeight="1" s="38">
      <c r="A148" s="52" t="n">
        <v>5</v>
      </c>
      <c r="B148" s="53" t="inlineStr">
        <is>
          <t>cuerpo_mensaje</t>
        </is>
      </c>
      <c r="C148" s="53" t="inlineStr">
        <is>
          <t>Contenido del mensaje</t>
        </is>
      </c>
      <c r="D148" s="48" t="n"/>
      <c r="E148" s="48" t="n"/>
      <c r="F148" s="49" t="n"/>
      <c r="G148" s="54" t="inlineStr">
        <is>
          <t>TEXT</t>
        </is>
      </c>
      <c r="H148" s="48" t="n"/>
      <c r="I148" s="48" t="n"/>
      <c r="J148" s="49" t="n"/>
      <c r="K148" s="54" t="inlineStr">
        <is>
          <t>Variable</t>
        </is>
      </c>
      <c r="L148" s="48" t="n"/>
      <c r="M148" s="48" t="n"/>
      <c r="N148" s="49" t="n"/>
      <c r="O148" s="54" t="inlineStr">
        <is>
          <t>No</t>
        </is>
      </c>
      <c r="P148" s="48" t="n"/>
      <c r="Q148" s="49" t="n"/>
      <c r="R148" s="54" t="n"/>
      <c r="S148" s="49" t="n"/>
      <c r="T148" s="54" t="n"/>
      <c r="U148" s="49" t="n"/>
      <c r="V148" s="54" t="n"/>
      <c r="W148" s="49" t="n"/>
      <c r="X148" s="53" t="n"/>
      <c r="Y148" s="49" t="n"/>
    </row>
    <row r="149" ht="30" customHeight="1" s="38">
      <c r="A149" s="52" t="n">
        <v>6</v>
      </c>
      <c r="B149" s="53" t="inlineStr">
        <is>
          <t>fecha_envio</t>
        </is>
      </c>
      <c r="C149" s="53" t="inlineStr">
        <is>
          <t>Fecha y hora de envío</t>
        </is>
      </c>
      <c r="D149" s="48" t="n"/>
      <c r="E149" s="48" t="n"/>
      <c r="F149" s="49" t="n"/>
      <c r="G149" s="54" t="inlineStr">
        <is>
          <t>TIMESTAMP</t>
        </is>
      </c>
      <c r="H149" s="48" t="n"/>
      <c r="I149" s="48" t="n"/>
      <c r="J149" s="49" t="n"/>
      <c r="K149" s="54" t="inlineStr">
        <is>
          <t>8 bytes</t>
        </is>
      </c>
      <c r="L149" s="48" t="n"/>
      <c r="M149" s="48" t="n"/>
      <c r="N149" s="49" t="n"/>
      <c r="O149" s="54" t="inlineStr">
        <is>
          <t>No</t>
        </is>
      </c>
      <c r="P149" s="48" t="n"/>
      <c r="Q149" s="49" t="n"/>
      <c r="R149" s="54" t="n"/>
      <c r="S149" s="49" t="n"/>
      <c r="T149" s="54" t="n"/>
      <c r="U149" s="49" t="n"/>
      <c r="V149" s="54" t="n"/>
      <c r="W149" s="49" t="n"/>
      <c r="X149" s="53" t="inlineStr">
        <is>
          <t>DEFAULT CURRENT_TIMESTAMP</t>
        </is>
      </c>
      <c r="Y149" s="49" t="n"/>
    </row>
    <row r="150" ht="30" customHeight="1" s="38">
      <c r="A150" s="52" t="n">
        <v>7</v>
      </c>
      <c r="B150" s="53" t="inlineStr">
        <is>
          <t>fue_leido</t>
        </is>
      </c>
      <c r="C150" s="53" t="inlineStr">
        <is>
          <t>TRUE si el destinatario ya lo leyó</t>
        </is>
      </c>
      <c r="D150" s="48" t="n"/>
      <c r="E150" s="48" t="n"/>
      <c r="F150" s="49" t="n"/>
      <c r="G150" s="54" t="inlineStr">
        <is>
          <t>BOOLEAN</t>
        </is>
      </c>
      <c r="H150" s="48" t="n"/>
      <c r="I150" s="48" t="n"/>
      <c r="J150" s="49" t="n"/>
      <c r="K150" s="54" t="inlineStr">
        <is>
          <t>1 byte</t>
        </is>
      </c>
      <c r="L150" s="48" t="n"/>
      <c r="M150" s="48" t="n"/>
      <c r="N150" s="49" t="n"/>
      <c r="O150" s="54" t="inlineStr">
        <is>
          <t>No</t>
        </is>
      </c>
      <c r="P150" s="48" t="n"/>
      <c r="Q150" s="49" t="n"/>
      <c r="R150" s="54" t="n"/>
      <c r="S150" s="49" t="n"/>
      <c r="T150" s="54" t="n"/>
      <c r="U150" s="49" t="n"/>
      <c r="V150" s="54" t="n"/>
      <c r="W150" s="49" t="n"/>
      <c r="X150" s="53" t="inlineStr">
        <is>
          <t>DEFAULT false</t>
        </is>
      </c>
      <c r="Y150" s="49" t="n"/>
    </row>
    <row r="151" ht="15.75" customHeight="1" s="38"/>
    <row r="152" ht="15.75" customHeight="1" s="38"/>
    <row r="153" ht="32" customHeight="1" s="38">
      <c r="A153" s="24" t="n">
        <v>13</v>
      </c>
      <c r="B153" s="30" t="inlineStr">
        <is>
          <t>Tabla</t>
        </is>
      </c>
      <c r="C153" s="29">
        <f>B16</f>
        <v/>
      </c>
      <c r="D153" s="48" t="n"/>
      <c r="E153" s="48" t="n"/>
      <c r="F153" s="49" t="n"/>
      <c r="G153" s="28" t="inlineStr">
        <is>
          <t>Descripción Tabla</t>
        </is>
      </c>
      <c r="H153" s="48" t="n"/>
      <c r="I153" s="48" t="n"/>
      <c r="J153" s="49" t="n"/>
      <c r="K153" s="51">
        <f>F16</f>
        <v/>
      </c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9" t="n"/>
      <c r="X153" s="28" t="inlineStr">
        <is>
          <t>Versión</t>
        </is>
      </c>
      <c r="Y153" s="29" t="inlineStr">
        <is>
          <t>3.0</t>
        </is>
      </c>
    </row>
    <row r="154" ht="41.25" customHeight="1" s="38">
      <c r="A154" s="28" t="inlineStr">
        <is>
          <t>#</t>
        </is>
      </c>
      <c r="B154" s="28" t="inlineStr">
        <is>
          <t>Campo</t>
        </is>
      </c>
      <c r="C154" s="28" t="inlineStr">
        <is>
          <t>Descripción Campo</t>
        </is>
      </c>
      <c r="D154" s="48" t="n"/>
      <c r="E154" s="48" t="n"/>
      <c r="F154" s="49" t="n"/>
      <c r="G154" s="28" t="inlineStr">
        <is>
          <t>Tipo Dato
(PostgreSQL)</t>
        </is>
      </c>
      <c r="H154" s="48" t="n"/>
      <c r="I154" s="48" t="n"/>
      <c r="J154" s="49" t="n"/>
      <c r="K154" s="28" t="inlineStr">
        <is>
          <t>Tamaño / Longitud</t>
        </is>
      </c>
      <c r="L154" s="48" t="n"/>
      <c r="M154" s="48" t="n"/>
      <c r="N154" s="49" t="n"/>
      <c r="O154" s="28" t="inlineStr">
        <is>
          <t>Nulo</t>
        </is>
      </c>
      <c r="P154" s="48" t="n"/>
      <c r="Q154" s="49" t="n"/>
      <c r="R154" s="28" t="inlineStr">
        <is>
          <t>PK</t>
        </is>
      </c>
      <c r="S154" s="49" t="n"/>
      <c r="T154" s="28" t="inlineStr">
        <is>
          <t>FK</t>
        </is>
      </c>
      <c r="U154" s="49" t="n"/>
      <c r="V154" s="28" t="inlineStr">
        <is>
          <t>UK</t>
        </is>
      </c>
      <c r="W154" s="49" t="n"/>
      <c r="X154" s="28" t="inlineStr">
        <is>
          <t>Nota/Comentarios</t>
        </is>
      </c>
      <c r="Y154" s="49" t="n"/>
    </row>
    <row r="155" ht="30" customHeight="1" s="38">
      <c r="A155" s="52" t="n">
        <v>1</v>
      </c>
      <c r="B155" s="53" t="inlineStr">
        <is>
          <t>id_notificacion</t>
        </is>
      </c>
      <c r="C155" s="53" t="inlineStr">
        <is>
          <t>Identificador único de la notificación</t>
        </is>
      </c>
      <c r="D155" s="48" t="n"/>
      <c r="E155" s="48" t="n"/>
      <c r="F155" s="49" t="n"/>
      <c r="G155" s="54" t="inlineStr">
        <is>
          <t>BIGINT</t>
        </is>
      </c>
      <c r="H155" s="48" t="n"/>
      <c r="I155" s="48" t="n"/>
      <c r="J155" s="49" t="n"/>
      <c r="K155" s="54" t="inlineStr">
        <is>
          <t>8 bytes</t>
        </is>
      </c>
      <c r="L155" s="48" t="n"/>
      <c r="M155" s="48" t="n"/>
      <c r="N155" s="49" t="n"/>
      <c r="O155" s="54" t="inlineStr">
        <is>
          <t>No</t>
        </is>
      </c>
      <c r="P155" s="48" t="n"/>
      <c r="Q155" s="49" t="n"/>
      <c r="R155" s="54" t="inlineStr">
        <is>
          <t>S</t>
        </is>
      </c>
      <c r="S155" s="49" t="n"/>
      <c r="T155" s="54" t="n"/>
      <c r="U155" s="49" t="n"/>
      <c r="V155" s="54" t="n"/>
      <c r="W155" s="49" t="n"/>
      <c r="X155" s="53" t="inlineStr">
        <is>
          <t>GENERATED ALWAYS AS IDENTITY</t>
        </is>
      </c>
      <c r="Y155" s="49" t="n"/>
    </row>
    <row r="156" ht="30" customHeight="1" s="38">
      <c r="A156" s="52" t="n">
        <v>2</v>
      </c>
      <c r="B156" s="53" t="inlineStr">
        <is>
          <t>id_usuario</t>
        </is>
      </c>
      <c r="C156" s="53" t="inlineStr">
        <is>
          <t>Usuario destinatario</t>
        </is>
      </c>
      <c r="D156" s="48" t="n"/>
      <c r="E156" s="48" t="n"/>
      <c r="F156" s="49" t="n"/>
      <c r="G156" s="54" t="inlineStr">
        <is>
          <t>INTEGER</t>
        </is>
      </c>
      <c r="H156" s="48" t="n"/>
      <c r="I156" s="48" t="n"/>
      <c r="J156" s="49" t="n"/>
      <c r="K156" s="54" t="inlineStr">
        <is>
          <t>4 bytes</t>
        </is>
      </c>
      <c r="L156" s="48" t="n"/>
      <c r="M156" s="48" t="n"/>
      <c r="N156" s="49" t="n"/>
      <c r="O156" s="54" t="inlineStr">
        <is>
          <t>No</t>
        </is>
      </c>
      <c r="P156" s="48" t="n"/>
      <c r="Q156" s="49" t="n"/>
      <c r="R156" s="54" t="n"/>
      <c r="S156" s="49" t="n"/>
      <c r="T156" s="54" t="inlineStr">
        <is>
          <t>S</t>
        </is>
      </c>
      <c r="U156" s="49" t="n"/>
      <c r="V156" s="54" t="n"/>
      <c r="W156" s="49" t="n"/>
      <c r="X156" s="53" t="inlineStr">
        <is>
          <t>Ref. usuario(id_usuario) ON DELETE CASCADE ON UPDATE CASCADE</t>
        </is>
      </c>
      <c r="Y156" s="49" t="n"/>
    </row>
    <row r="157" ht="45" customHeight="1" s="38">
      <c r="A157" s="52" t="n">
        <v>3</v>
      </c>
      <c r="B157" s="53" t="inlineStr">
        <is>
          <t>tipo_notificacion</t>
        </is>
      </c>
      <c r="C157" s="53" t="inlineStr">
        <is>
          <t>Origen: comentario, reaccion, mensaje, seguidor, grupo, evento, servicio, producto</t>
        </is>
      </c>
      <c r="D157" s="48" t="n"/>
      <c r="E157" s="48" t="n"/>
      <c r="F157" s="49" t="n"/>
      <c r="G157" s="54" t="inlineStr">
        <is>
          <t>VARCHAR</t>
        </is>
      </c>
      <c r="H157" s="48" t="n"/>
      <c r="I157" s="48" t="n"/>
      <c r="J157" s="49" t="n"/>
      <c r="K157" s="54" t="inlineStr">
        <is>
          <t>15</t>
        </is>
      </c>
      <c r="L157" s="48" t="n"/>
      <c r="M157" s="48" t="n"/>
      <c r="N157" s="49" t="n"/>
      <c r="O157" s="54" t="inlineStr">
        <is>
          <t>No</t>
        </is>
      </c>
      <c r="P157" s="48" t="n"/>
      <c r="Q157" s="49" t="n"/>
      <c r="R157" s="54" t="n"/>
      <c r="S157" s="49" t="n"/>
      <c r="T157" s="54" t="n"/>
      <c r="U157" s="49" t="n"/>
      <c r="V157" s="54" t="n"/>
      <c r="W157" s="49" t="n"/>
      <c r="X157" s="53" t="inlineStr">
        <is>
          <t>CHECK (tipo_notificacion)IN ('comentario', 'reaccion', 'mensaje', 'seguidor', 'grupo', 'evento', 'servicio', 'producto')</t>
        </is>
      </c>
      <c r="Y157" s="49" t="n"/>
    </row>
    <row r="158" ht="30" customHeight="1" s="38">
      <c r="A158" s="52" t="n">
        <v>4</v>
      </c>
      <c r="B158" s="53" t="inlineStr">
        <is>
          <t>referencia_origen</t>
        </is>
      </c>
      <c r="C158" s="53" t="inlineStr">
        <is>
          <t>Id del registro que originó el aviso</t>
        </is>
      </c>
      <c r="D158" s="48" t="n"/>
      <c r="E158" s="48" t="n"/>
      <c r="F158" s="49" t="n"/>
      <c r="G158" s="54" t="inlineStr">
        <is>
          <t>BIGINT</t>
        </is>
      </c>
      <c r="H158" s="48" t="n"/>
      <c r="I158" s="48" t="n"/>
      <c r="J158" s="49" t="n"/>
      <c r="K158" s="54" t="inlineStr">
        <is>
          <t>8 bytes</t>
        </is>
      </c>
      <c r="L158" s="48" t="n"/>
      <c r="M158" s="48" t="n"/>
      <c r="N158" s="49" t="n"/>
      <c r="O158" s="54" t="inlineStr">
        <is>
          <t>Sí</t>
        </is>
      </c>
      <c r="P158" s="48" t="n"/>
      <c r="Q158" s="49" t="n"/>
      <c r="R158" s="54" t="n"/>
      <c r="S158" s="49" t="n"/>
      <c r="T158" s="54" t="n"/>
      <c r="U158" s="49" t="n"/>
      <c r="V158" s="54" t="n"/>
      <c r="W158" s="49" t="n"/>
      <c r="X158" s="53" t="n"/>
      <c r="Y158" s="49" t="n"/>
    </row>
    <row r="159" ht="30" customHeight="1" s="38">
      <c r="A159" s="52" t="n">
        <v>5</v>
      </c>
      <c r="B159" s="53" t="inlineStr">
        <is>
          <t>texto_notificacion</t>
        </is>
      </c>
      <c r="C159" s="53" t="inlineStr">
        <is>
          <t>Texto que se muestra al usuario</t>
        </is>
      </c>
      <c r="D159" s="48" t="n"/>
      <c r="E159" s="48" t="n"/>
      <c r="F159" s="49" t="n"/>
      <c r="G159" s="54" t="inlineStr">
        <is>
          <t>VARCHAR</t>
        </is>
      </c>
      <c r="H159" s="48" t="n"/>
      <c r="I159" s="48" t="n"/>
      <c r="J159" s="49" t="n"/>
      <c r="K159" s="54" t="inlineStr">
        <is>
          <t>255</t>
        </is>
      </c>
      <c r="L159" s="48" t="n"/>
      <c r="M159" s="48" t="n"/>
      <c r="N159" s="49" t="n"/>
      <c r="O159" s="54" t="inlineStr">
        <is>
          <t>No</t>
        </is>
      </c>
      <c r="P159" s="48" t="n"/>
      <c r="Q159" s="49" t="n"/>
      <c r="R159" s="54" t="n"/>
      <c r="S159" s="49" t="n"/>
      <c r="T159" s="54" t="n"/>
      <c r="U159" s="49" t="n"/>
      <c r="V159" s="54" t="n"/>
      <c r="W159" s="49" t="n"/>
      <c r="X159" s="53" t="n"/>
      <c r="Y159" s="49" t="n"/>
    </row>
    <row r="160" ht="30" customHeight="1" s="38">
      <c r="A160" s="52" t="n">
        <v>6</v>
      </c>
      <c r="B160" s="53" t="inlineStr">
        <is>
          <t>fecha_generacion</t>
        </is>
      </c>
      <c r="C160" s="53" t="inlineStr">
        <is>
          <t>Fecha y hora de generación</t>
        </is>
      </c>
      <c r="D160" s="48" t="n"/>
      <c r="E160" s="48" t="n"/>
      <c r="F160" s="49" t="n"/>
      <c r="G160" s="54" t="inlineStr">
        <is>
          <t>TIMESTAMP</t>
        </is>
      </c>
      <c r="H160" s="48" t="n"/>
      <c r="I160" s="48" t="n"/>
      <c r="J160" s="49" t="n"/>
      <c r="K160" s="54" t="inlineStr">
        <is>
          <t>8 bytes</t>
        </is>
      </c>
      <c r="L160" s="48" t="n"/>
      <c r="M160" s="48" t="n"/>
      <c r="N160" s="49" t="n"/>
      <c r="O160" s="54" t="inlineStr">
        <is>
          <t>No</t>
        </is>
      </c>
      <c r="P160" s="48" t="n"/>
      <c r="Q160" s="49" t="n"/>
      <c r="R160" s="54" t="n"/>
      <c r="S160" s="49" t="n"/>
      <c r="T160" s="54" t="n"/>
      <c r="U160" s="49" t="n"/>
      <c r="V160" s="54" t="n"/>
      <c r="W160" s="49" t="n"/>
      <c r="X160" s="53" t="inlineStr">
        <is>
          <t>DEFAULT CURRENT_TIMESTAMP</t>
        </is>
      </c>
      <c r="Y160" s="49" t="n"/>
    </row>
    <row r="161" ht="30" customHeight="1" s="38">
      <c r="A161" s="52" t="n">
        <v>7</v>
      </c>
      <c r="B161" s="53" t="inlineStr">
        <is>
          <t>fue_leida</t>
        </is>
      </c>
      <c r="C161" s="53" t="inlineStr">
        <is>
          <t>TRUE si ya fue consultada</t>
        </is>
      </c>
      <c r="D161" s="48" t="n"/>
      <c r="E161" s="48" t="n"/>
      <c r="F161" s="49" t="n"/>
      <c r="G161" s="54" t="inlineStr">
        <is>
          <t>BOOLEAN</t>
        </is>
      </c>
      <c r="H161" s="48" t="n"/>
      <c r="I161" s="48" t="n"/>
      <c r="J161" s="49" t="n"/>
      <c r="K161" s="54" t="inlineStr">
        <is>
          <t>1 byte</t>
        </is>
      </c>
      <c r="L161" s="48" t="n"/>
      <c r="M161" s="48" t="n"/>
      <c r="N161" s="49" t="n"/>
      <c r="O161" s="54" t="inlineStr">
        <is>
          <t>No</t>
        </is>
      </c>
      <c r="P161" s="48" t="n"/>
      <c r="Q161" s="49" t="n"/>
      <c r="R161" s="54" t="n"/>
      <c r="S161" s="49" t="n"/>
      <c r="T161" s="54" t="n"/>
      <c r="U161" s="49" t="n"/>
      <c r="V161" s="54" t="n"/>
      <c r="W161" s="49" t="n"/>
      <c r="X161" s="53" t="inlineStr">
        <is>
          <t>DEFAULT false</t>
        </is>
      </c>
      <c r="Y161" s="49" t="n"/>
    </row>
    <row r="162" ht="15.75" customHeight="1" s="38"/>
    <row r="163" ht="15.75" customHeight="1" s="38"/>
    <row r="164" ht="32" customHeight="1" s="38">
      <c r="A164" s="24" t="n">
        <v>14</v>
      </c>
      <c r="B164" s="30" t="inlineStr">
        <is>
          <t>Tabla</t>
        </is>
      </c>
      <c r="C164" s="29">
        <f>B17</f>
        <v/>
      </c>
      <c r="D164" s="48" t="n"/>
      <c r="E164" s="48" t="n"/>
      <c r="F164" s="49" t="n"/>
      <c r="G164" s="28" t="inlineStr">
        <is>
          <t>Descripción Tabla</t>
        </is>
      </c>
      <c r="H164" s="48" t="n"/>
      <c r="I164" s="48" t="n"/>
      <c r="J164" s="49" t="n"/>
      <c r="K164" s="51">
        <f>F17</f>
        <v/>
      </c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9" t="n"/>
      <c r="X164" s="28" t="inlineStr">
        <is>
          <t>Versión</t>
        </is>
      </c>
      <c r="Y164" s="29" t="inlineStr">
        <is>
          <t>3.0</t>
        </is>
      </c>
    </row>
    <row r="165" ht="41.25" customHeight="1" s="38">
      <c r="A165" s="28" t="inlineStr">
        <is>
          <t>#</t>
        </is>
      </c>
      <c r="B165" s="28" t="inlineStr">
        <is>
          <t>Campo</t>
        </is>
      </c>
      <c r="C165" s="28" t="inlineStr">
        <is>
          <t>Descripción Campo</t>
        </is>
      </c>
      <c r="D165" s="48" t="n"/>
      <c r="E165" s="48" t="n"/>
      <c r="F165" s="49" t="n"/>
      <c r="G165" s="28" t="inlineStr">
        <is>
          <t>Tipo Dato
(PostgreSQL)</t>
        </is>
      </c>
      <c r="H165" s="48" t="n"/>
      <c r="I165" s="48" t="n"/>
      <c r="J165" s="49" t="n"/>
      <c r="K165" s="28" t="inlineStr">
        <is>
          <t>Tamaño / Longitud</t>
        </is>
      </c>
      <c r="L165" s="48" t="n"/>
      <c r="M165" s="48" t="n"/>
      <c r="N165" s="49" t="n"/>
      <c r="O165" s="28" t="inlineStr">
        <is>
          <t>Nulo</t>
        </is>
      </c>
      <c r="P165" s="48" t="n"/>
      <c r="Q165" s="49" t="n"/>
      <c r="R165" s="28" t="inlineStr">
        <is>
          <t>PK</t>
        </is>
      </c>
      <c r="S165" s="49" t="n"/>
      <c r="T165" s="28" t="inlineStr">
        <is>
          <t>FK</t>
        </is>
      </c>
      <c r="U165" s="49" t="n"/>
      <c r="V165" s="28" t="inlineStr">
        <is>
          <t>UK</t>
        </is>
      </c>
      <c r="W165" s="49" t="n"/>
      <c r="X165" s="28" t="inlineStr">
        <is>
          <t>Nota/Comentarios</t>
        </is>
      </c>
      <c r="Y165" s="49" t="n"/>
    </row>
    <row r="166" ht="30" customHeight="1" s="38">
      <c r="A166" s="52" t="n">
        <v>1</v>
      </c>
      <c r="B166" s="53" t="inlineStr">
        <is>
          <t>id_tipo_servicio</t>
        </is>
      </c>
      <c r="C166" s="53" t="inlineStr">
        <is>
          <t>Identificador del tipo de servicio</t>
        </is>
      </c>
      <c r="D166" s="48" t="n"/>
      <c r="E166" s="48" t="n"/>
      <c r="F166" s="49" t="n"/>
      <c r="G166" s="54" t="inlineStr">
        <is>
          <t>SMALLINT</t>
        </is>
      </c>
      <c r="H166" s="48" t="n"/>
      <c r="I166" s="48" t="n"/>
      <c r="J166" s="49" t="n"/>
      <c r="K166" s="54" t="inlineStr">
        <is>
          <t>2 bytes</t>
        </is>
      </c>
      <c r="L166" s="48" t="n"/>
      <c r="M166" s="48" t="n"/>
      <c r="N166" s="49" t="n"/>
      <c r="O166" s="54" t="inlineStr">
        <is>
          <t>No</t>
        </is>
      </c>
      <c r="P166" s="48" t="n"/>
      <c r="Q166" s="49" t="n"/>
      <c r="R166" s="54" t="inlineStr">
        <is>
          <t>S</t>
        </is>
      </c>
      <c r="S166" s="49" t="n"/>
      <c r="T166" s="54" t="n"/>
      <c r="U166" s="49" t="n"/>
      <c r="V166" s="54" t="n"/>
      <c r="W166" s="49" t="n"/>
      <c r="X166" s="53" t="inlineStr">
        <is>
          <t>GENERATED ALWAYS AS IDENTITY</t>
        </is>
      </c>
      <c r="Y166" s="49" t="n"/>
    </row>
    <row r="167" ht="30" customHeight="1" s="38">
      <c r="A167" s="52" t="n">
        <v>2</v>
      </c>
      <c r="B167" s="53" t="inlineStr">
        <is>
          <t>id_usuario_registra</t>
        </is>
      </c>
      <c r="C167" s="53" t="inlineStr">
        <is>
          <t>Administrador/auxiliar que lo registró</t>
        </is>
      </c>
      <c r="D167" s="48" t="n"/>
      <c r="E167" s="48" t="n"/>
      <c r="F167" s="49" t="n"/>
      <c r="G167" s="54" t="inlineStr">
        <is>
          <t>INTEGER</t>
        </is>
      </c>
      <c r="H167" s="48" t="n"/>
      <c r="I167" s="48" t="n"/>
      <c r="J167" s="49" t="n"/>
      <c r="K167" s="54" t="inlineStr">
        <is>
          <t>4 bytes</t>
        </is>
      </c>
      <c r="L167" s="48" t="n"/>
      <c r="M167" s="48" t="n"/>
      <c r="N167" s="49" t="n"/>
      <c r="O167" s="54" t="inlineStr">
        <is>
          <t>No</t>
        </is>
      </c>
      <c r="P167" s="48" t="n"/>
      <c r="Q167" s="49" t="n"/>
      <c r="R167" s="54" t="n"/>
      <c r="S167" s="49" t="n"/>
      <c r="T167" s="54" t="inlineStr">
        <is>
          <t>S</t>
        </is>
      </c>
      <c r="U167" s="49" t="n"/>
      <c r="V167" s="54" t="n"/>
      <c r="W167" s="49" t="n"/>
      <c r="X167" s="53" t="inlineStr">
        <is>
          <t>Ref. usuario(id_usuario) ON DELETE RESTRICT ON UPDATE CASCADE</t>
        </is>
      </c>
      <c r="Y167" s="49" t="n"/>
    </row>
    <row r="168" ht="30" customHeight="1" s="38">
      <c r="A168" s="52" t="n">
        <v>3</v>
      </c>
      <c r="B168" s="53" t="inlineStr">
        <is>
          <t>nombre_tipo_servicio</t>
        </is>
      </c>
      <c r="C168" s="53" t="inlineStr">
        <is>
          <t>Nombre de la categoría</t>
        </is>
      </c>
      <c r="D168" s="48" t="n"/>
      <c r="E168" s="48" t="n"/>
      <c r="F168" s="49" t="n"/>
      <c r="G168" s="54" t="inlineStr">
        <is>
          <t>VARCHAR</t>
        </is>
      </c>
      <c r="H168" s="48" t="n"/>
      <c r="I168" s="48" t="n"/>
      <c r="J168" s="49" t="n"/>
      <c r="K168" s="54" t="inlineStr">
        <is>
          <t>60</t>
        </is>
      </c>
      <c r="L168" s="48" t="n"/>
      <c r="M168" s="48" t="n"/>
      <c r="N168" s="49" t="n"/>
      <c r="O168" s="54" t="inlineStr">
        <is>
          <t>No</t>
        </is>
      </c>
      <c r="P168" s="48" t="n"/>
      <c r="Q168" s="49" t="n"/>
      <c r="R168" s="54" t="n"/>
      <c r="S168" s="49" t="n"/>
      <c r="T168" s="54" t="n"/>
      <c r="U168" s="49" t="n"/>
      <c r="V168" s="54" t="inlineStr">
        <is>
          <t>S</t>
        </is>
      </c>
      <c r="W168" s="49" t="n"/>
      <c r="X168" s="53" t="n"/>
      <c r="Y168" s="49" t="n"/>
    </row>
    <row r="169" ht="30" customHeight="1" s="38">
      <c r="A169" s="52" t="n">
        <v>4</v>
      </c>
      <c r="B169" s="53" t="inlineStr">
        <is>
          <t>descripcion_tipo_servicio</t>
        </is>
      </c>
      <c r="C169" s="53" t="inlineStr">
        <is>
          <t>Aclaración del alcance</t>
        </is>
      </c>
      <c r="D169" s="48" t="n"/>
      <c r="E169" s="48" t="n"/>
      <c r="F169" s="49" t="n"/>
      <c r="G169" s="54" t="inlineStr">
        <is>
          <t>VARCHAR</t>
        </is>
      </c>
      <c r="H169" s="48" t="n"/>
      <c r="I169" s="48" t="n"/>
      <c r="J169" s="49" t="n"/>
      <c r="K169" s="54" t="inlineStr">
        <is>
          <t>255</t>
        </is>
      </c>
      <c r="L169" s="48" t="n"/>
      <c r="M169" s="48" t="n"/>
      <c r="N169" s="49" t="n"/>
      <c r="O169" s="54" t="inlineStr">
        <is>
          <t>Sí</t>
        </is>
      </c>
      <c r="P169" s="48" t="n"/>
      <c r="Q169" s="49" t="n"/>
      <c r="R169" s="54" t="n"/>
      <c r="S169" s="49" t="n"/>
      <c r="T169" s="54" t="n"/>
      <c r="U169" s="49" t="n"/>
      <c r="V169" s="54" t="n"/>
      <c r="W169" s="49" t="n"/>
      <c r="X169" s="53" t="n"/>
      <c r="Y169" s="49" t="n"/>
    </row>
    <row r="170" ht="30" customHeight="1" s="38">
      <c r="A170" s="52" t="n">
        <v>5</v>
      </c>
      <c r="B170" s="53" t="inlineStr">
        <is>
          <t>estado_tipo_servicio</t>
        </is>
      </c>
      <c r="C170" s="53" t="inlineStr">
        <is>
          <t>TRUE si está vigente</t>
        </is>
      </c>
      <c r="D170" s="48" t="n"/>
      <c r="E170" s="48" t="n"/>
      <c r="F170" s="49" t="n"/>
      <c r="G170" s="54" t="inlineStr">
        <is>
          <t>BOOLEAN</t>
        </is>
      </c>
      <c r="H170" s="48" t="n"/>
      <c r="I170" s="48" t="n"/>
      <c r="J170" s="49" t="n"/>
      <c r="K170" s="54" t="inlineStr">
        <is>
          <t>1 byte</t>
        </is>
      </c>
      <c r="L170" s="48" t="n"/>
      <c r="M170" s="48" t="n"/>
      <c r="N170" s="49" t="n"/>
      <c r="O170" s="54" t="inlineStr">
        <is>
          <t>No</t>
        </is>
      </c>
      <c r="P170" s="48" t="n"/>
      <c r="Q170" s="49" t="n"/>
      <c r="R170" s="54" t="n"/>
      <c r="S170" s="49" t="n"/>
      <c r="T170" s="54" t="n"/>
      <c r="U170" s="49" t="n"/>
      <c r="V170" s="54" t="n"/>
      <c r="W170" s="49" t="n"/>
      <c r="X170" s="53" t="inlineStr">
        <is>
          <t>DEFAULT true</t>
        </is>
      </c>
      <c r="Y170" s="49" t="n"/>
    </row>
    <row r="171" ht="15.75" customHeight="1" s="38"/>
    <row r="172" ht="15.75" customHeight="1" s="38"/>
    <row r="173" ht="32" customHeight="1" s="38">
      <c r="A173" s="24" t="n">
        <v>15</v>
      </c>
      <c r="B173" s="30" t="inlineStr">
        <is>
          <t>Tabla</t>
        </is>
      </c>
      <c r="C173" s="29">
        <f>B18</f>
        <v/>
      </c>
      <c r="D173" s="48" t="n"/>
      <c r="E173" s="48" t="n"/>
      <c r="F173" s="49" t="n"/>
      <c r="G173" s="28" t="inlineStr">
        <is>
          <t>Descripción Tabla</t>
        </is>
      </c>
      <c r="H173" s="48" t="n"/>
      <c r="I173" s="48" t="n"/>
      <c r="J173" s="49" t="n"/>
      <c r="K173" s="51">
        <f>F18</f>
        <v/>
      </c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9" t="n"/>
      <c r="X173" s="28" t="inlineStr">
        <is>
          <t>Versión</t>
        </is>
      </c>
      <c r="Y173" s="29" t="inlineStr">
        <is>
          <t>3.0</t>
        </is>
      </c>
    </row>
    <row r="174" ht="41.25" customHeight="1" s="38">
      <c r="A174" s="28" t="inlineStr">
        <is>
          <t>#</t>
        </is>
      </c>
      <c r="B174" s="28" t="inlineStr">
        <is>
          <t>Campo</t>
        </is>
      </c>
      <c r="C174" s="28" t="inlineStr">
        <is>
          <t>Descripción Campo</t>
        </is>
      </c>
      <c r="D174" s="48" t="n"/>
      <c r="E174" s="48" t="n"/>
      <c r="F174" s="49" t="n"/>
      <c r="G174" s="28" t="inlineStr">
        <is>
          <t>Tipo Dato
(PostgreSQL)</t>
        </is>
      </c>
      <c r="H174" s="48" t="n"/>
      <c r="I174" s="48" t="n"/>
      <c r="J174" s="49" t="n"/>
      <c r="K174" s="28" t="inlineStr">
        <is>
          <t>Tamaño / Longitud</t>
        </is>
      </c>
      <c r="L174" s="48" t="n"/>
      <c r="M174" s="48" t="n"/>
      <c r="N174" s="49" t="n"/>
      <c r="O174" s="28" t="inlineStr">
        <is>
          <t>Nulo</t>
        </is>
      </c>
      <c r="P174" s="48" t="n"/>
      <c r="Q174" s="49" t="n"/>
      <c r="R174" s="28" t="inlineStr">
        <is>
          <t>PK</t>
        </is>
      </c>
      <c r="S174" s="49" t="n"/>
      <c r="T174" s="28" t="inlineStr">
        <is>
          <t>FK</t>
        </is>
      </c>
      <c r="U174" s="49" t="n"/>
      <c r="V174" s="28" t="inlineStr">
        <is>
          <t>UK</t>
        </is>
      </c>
      <c r="W174" s="49" t="n"/>
      <c r="X174" s="28" t="inlineStr">
        <is>
          <t>Nota/Comentarios</t>
        </is>
      </c>
      <c r="Y174" s="49" t="n"/>
    </row>
    <row r="175" ht="30" customHeight="1" s="38">
      <c r="A175" s="52" t="n">
        <v>1</v>
      </c>
      <c r="B175" s="53" t="inlineStr">
        <is>
          <t>id_servicio</t>
        </is>
      </c>
      <c r="C175" s="53" t="inlineStr">
        <is>
          <t>Identificador del servicio</t>
        </is>
      </c>
      <c r="D175" s="48" t="n"/>
      <c r="E175" s="48" t="n"/>
      <c r="F175" s="49" t="n"/>
      <c r="G175" s="54" t="inlineStr">
        <is>
          <t>INTEGER</t>
        </is>
      </c>
      <c r="H175" s="48" t="n"/>
      <c r="I175" s="48" t="n"/>
      <c r="J175" s="49" t="n"/>
      <c r="K175" s="54" t="inlineStr">
        <is>
          <t>4 bytes</t>
        </is>
      </c>
      <c r="L175" s="48" t="n"/>
      <c r="M175" s="48" t="n"/>
      <c r="N175" s="49" t="n"/>
      <c r="O175" s="54" t="inlineStr">
        <is>
          <t>No</t>
        </is>
      </c>
      <c r="P175" s="48" t="n"/>
      <c r="Q175" s="49" t="n"/>
      <c r="R175" s="54" t="inlineStr">
        <is>
          <t>S</t>
        </is>
      </c>
      <c r="S175" s="49" t="n"/>
      <c r="T175" s="54" t="n"/>
      <c r="U175" s="49" t="n"/>
      <c r="V175" s="54" t="n"/>
      <c r="W175" s="49" t="n"/>
      <c r="X175" s="53" t="inlineStr">
        <is>
          <t>GENERATED ALWAYS AS IDENTITY</t>
        </is>
      </c>
      <c r="Y175" s="49" t="n"/>
    </row>
    <row r="176" ht="30" customHeight="1" s="38">
      <c r="A176" s="52" t="n">
        <v>2</v>
      </c>
      <c r="B176" s="53" t="inlineStr">
        <is>
          <t>id_usuario</t>
        </is>
      </c>
      <c r="C176" s="53" t="inlineStr">
        <is>
          <t>Usuario que ofrece el servicio</t>
        </is>
      </c>
      <c r="D176" s="48" t="n"/>
      <c r="E176" s="48" t="n"/>
      <c r="F176" s="49" t="n"/>
      <c r="G176" s="54" t="inlineStr">
        <is>
          <t>INTEGER</t>
        </is>
      </c>
      <c r="H176" s="48" t="n"/>
      <c r="I176" s="48" t="n"/>
      <c r="J176" s="49" t="n"/>
      <c r="K176" s="54" t="inlineStr">
        <is>
          <t>4 bytes</t>
        </is>
      </c>
      <c r="L176" s="48" t="n"/>
      <c r="M176" s="48" t="n"/>
      <c r="N176" s="49" t="n"/>
      <c r="O176" s="54" t="inlineStr">
        <is>
          <t>No</t>
        </is>
      </c>
      <c r="P176" s="48" t="n"/>
      <c r="Q176" s="49" t="n"/>
      <c r="R176" s="54" t="n"/>
      <c r="S176" s="49" t="n"/>
      <c r="T176" s="54" t="inlineStr">
        <is>
          <t>S</t>
        </is>
      </c>
      <c r="U176" s="49" t="n"/>
      <c r="V176" s="54" t="n"/>
      <c r="W176" s="49" t="n"/>
      <c r="X176" s="53" t="inlineStr">
        <is>
          <t>Ref. usuario(id_usuario) ON DELETE RESTRICT ON UPDATE CASCADE</t>
        </is>
      </c>
      <c r="Y176" s="49" t="n"/>
    </row>
    <row r="177" ht="30" customHeight="1" s="38">
      <c r="A177" s="52" t="n">
        <v>3</v>
      </c>
      <c r="B177" s="53" t="inlineStr">
        <is>
          <t>id_tipo_servicio</t>
        </is>
      </c>
      <c r="C177" s="53" t="inlineStr">
        <is>
          <t>Categoría del servicio</t>
        </is>
      </c>
      <c r="D177" s="48" t="n"/>
      <c r="E177" s="48" t="n"/>
      <c r="F177" s="49" t="n"/>
      <c r="G177" s="54" t="inlineStr">
        <is>
          <t>SMALLINT</t>
        </is>
      </c>
      <c r="H177" s="48" t="n"/>
      <c r="I177" s="48" t="n"/>
      <c r="J177" s="49" t="n"/>
      <c r="K177" s="54" t="inlineStr">
        <is>
          <t>2 bytes</t>
        </is>
      </c>
      <c r="L177" s="48" t="n"/>
      <c r="M177" s="48" t="n"/>
      <c r="N177" s="49" t="n"/>
      <c r="O177" s="54" t="inlineStr">
        <is>
          <t>No</t>
        </is>
      </c>
      <c r="P177" s="48" t="n"/>
      <c r="Q177" s="49" t="n"/>
      <c r="R177" s="54" t="n"/>
      <c r="S177" s="49" t="n"/>
      <c r="T177" s="54" t="inlineStr">
        <is>
          <t>S</t>
        </is>
      </c>
      <c r="U177" s="49" t="n"/>
      <c r="V177" s="54" t="n"/>
      <c r="W177" s="49" t="n"/>
      <c r="X177" s="53" t="inlineStr">
        <is>
          <t>Ref. tipo_servicio(id_tipo_servicio) ON DELETE RESTRICT ON UPDATE CASCADE</t>
        </is>
      </c>
      <c r="Y177" s="49" t="n"/>
    </row>
    <row r="178" ht="30" customHeight="1" s="38">
      <c r="A178" s="52" t="n">
        <v>4</v>
      </c>
      <c r="B178" s="53" t="inlineStr">
        <is>
          <t>nombre_servicio</t>
        </is>
      </c>
      <c r="C178" s="53" t="inlineStr">
        <is>
          <t>Nombre comercial del servicio</t>
        </is>
      </c>
      <c r="D178" s="48" t="n"/>
      <c r="E178" s="48" t="n"/>
      <c r="F178" s="49" t="n"/>
      <c r="G178" s="54" t="inlineStr">
        <is>
          <t>VARCHAR</t>
        </is>
      </c>
      <c r="H178" s="48" t="n"/>
      <c r="I178" s="48" t="n"/>
      <c r="J178" s="49" t="n"/>
      <c r="K178" s="54" t="inlineStr">
        <is>
          <t>100</t>
        </is>
      </c>
      <c r="L178" s="48" t="n"/>
      <c r="M178" s="48" t="n"/>
      <c r="N178" s="49" t="n"/>
      <c r="O178" s="54" t="inlineStr">
        <is>
          <t>No</t>
        </is>
      </c>
      <c r="P178" s="48" t="n"/>
      <c r="Q178" s="49" t="n"/>
      <c r="R178" s="54" t="n"/>
      <c r="S178" s="49" t="n"/>
      <c r="T178" s="54" t="n"/>
      <c r="U178" s="49" t="n"/>
      <c r="V178" s="54" t="n"/>
      <c r="W178" s="49" t="n"/>
      <c r="X178" s="53" t="n"/>
      <c r="Y178" s="49" t="n"/>
    </row>
    <row r="179" ht="30" customHeight="1" s="38">
      <c r="A179" s="52" t="n">
        <v>5</v>
      </c>
      <c r="B179" s="53" t="inlineStr">
        <is>
          <t>descripcion_servicio</t>
        </is>
      </c>
      <c r="C179" s="53" t="inlineStr">
        <is>
          <t>Detalle de lo que incluye</t>
        </is>
      </c>
      <c r="D179" s="48" t="n"/>
      <c r="E179" s="48" t="n"/>
      <c r="F179" s="49" t="n"/>
      <c r="G179" s="54" t="inlineStr">
        <is>
          <t>VARCHAR</t>
        </is>
      </c>
      <c r="H179" s="48" t="n"/>
      <c r="I179" s="48" t="n"/>
      <c r="J179" s="49" t="n"/>
      <c r="K179" s="54" t="inlineStr">
        <is>
          <t>1000</t>
        </is>
      </c>
      <c r="L179" s="48" t="n"/>
      <c r="M179" s="48" t="n"/>
      <c r="N179" s="49" t="n"/>
      <c r="O179" s="54" t="inlineStr">
        <is>
          <t>Sí</t>
        </is>
      </c>
      <c r="P179" s="48" t="n"/>
      <c r="Q179" s="49" t="n"/>
      <c r="R179" s="54" t="n"/>
      <c r="S179" s="49" t="n"/>
      <c r="T179" s="54" t="n"/>
      <c r="U179" s="49" t="n"/>
      <c r="V179" s="54" t="n"/>
      <c r="W179" s="49" t="n"/>
      <c r="X179" s="53" t="n"/>
      <c r="Y179" s="49" t="n"/>
    </row>
    <row r="180" ht="30" customHeight="1" s="38">
      <c r="A180" s="52" t="n">
        <v>6</v>
      </c>
      <c r="B180" s="53" t="inlineStr">
        <is>
          <t>precio_servicio</t>
        </is>
      </c>
      <c r="C180" s="53" t="inlineStr">
        <is>
          <t>Valor cobrado (pesos colombianos)</t>
        </is>
      </c>
      <c r="D180" s="48" t="n"/>
      <c r="E180" s="48" t="n"/>
      <c r="F180" s="49" t="n"/>
      <c r="G180" s="54" t="inlineStr">
        <is>
          <t>NUMERIC</t>
        </is>
      </c>
      <c r="H180" s="48" t="n"/>
      <c r="I180" s="48" t="n"/>
      <c r="J180" s="49" t="n"/>
      <c r="K180" s="54" t="inlineStr">
        <is>
          <t>12,2</t>
        </is>
      </c>
      <c r="L180" s="48" t="n"/>
      <c r="M180" s="48" t="n"/>
      <c r="N180" s="49" t="n"/>
      <c r="O180" s="54" t="inlineStr">
        <is>
          <t>No</t>
        </is>
      </c>
      <c r="P180" s="48" t="n"/>
      <c r="Q180" s="49" t="n"/>
      <c r="R180" s="54" t="n"/>
      <c r="S180" s="49" t="n"/>
      <c r="T180" s="54" t="n"/>
      <c r="U180" s="49" t="n"/>
      <c r="V180" s="54" t="n"/>
      <c r="W180" s="49" t="n"/>
      <c r="X180" s="53" t="inlineStr">
        <is>
          <t>CHECK (precio_servicio &gt;= (0)</t>
        </is>
      </c>
      <c r="Y180" s="49" t="n"/>
    </row>
    <row r="181" ht="30" customHeight="1" s="38">
      <c r="A181" s="52" t="n">
        <v>7</v>
      </c>
      <c r="B181" s="53" t="inlineStr">
        <is>
          <t>duracion_minutos</t>
        </is>
      </c>
      <c r="C181" s="53" t="inlineStr">
        <is>
          <t>Duración estimada en minutos</t>
        </is>
      </c>
      <c r="D181" s="48" t="n"/>
      <c r="E181" s="48" t="n"/>
      <c r="F181" s="49" t="n"/>
      <c r="G181" s="54" t="inlineStr">
        <is>
          <t>INTEGER</t>
        </is>
      </c>
      <c r="H181" s="48" t="n"/>
      <c r="I181" s="48" t="n"/>
      <c r="J181" s="49" t="n"/>
      <c r="K181" s="54" t="inlineStr">
        <is>
          <t>4 bytes</t>
        </is>
      </c>
      <c r="L181" s="48" t="n"/>
      <c r="M181" s="48" t="n"/>
      <c r="N181" s="49" t="n"/>
      <c r="O181" s="54" t="inlineStr">
        <is>
          <t>Sí</t>
        </is>
      </c>
      <c r="P181" s="48" t="n"/>
      <c r="Q181" s="49" t="n"/>
      <c r="R181" s="54" t="n"/>
      <c r="S181" s="49" t="n"/>
      <c r="T181" s="54" t="n"/>
      <c r="U181" s="49" t="n"/>
      <c r="V181" s="54" t="n"/>
      <c r="W181" s="49" t="n"/>
      <c r="X181" s="53" t="inlineStr">
        <is>
          <t>CHECK (duracion_minutos IS NULL) OR (duracion_minutos &gt; 0)</t>
        </is>
      </c>
      <c r="Y181" s="49" t="n"/>
    </row>
    <row r="182" ht="30" customHeight="1" s="38">
      <c r="A182" s="52" t="n">
        <v>8</v>
      </c>
      <c r="B182" s="53" t="inlineStr">
        <is>
          <t>ubicacion_servicio</t>
        </is>
      </c>
      <c r="C182" s="53" t="inlineStr">
        <is>
          <t>Lugar donde se presta</t>
        </is>
      </c>
      <c r="D182" s="48" t="n"/>
      <c r="E182" s="48" t="n"/>
      <c r="F182" s="49" t="n"/>
      <c r="G182" s="54" t="inlineStr">
        <is>
          <t>VARCHAR</t>
        </is>
      </c>
      <c r="H182" s="48" t="n"/>
      <c r="I182" s="48" t="n"/>
      <c r="J182" s="49" t="n"/>
      <c r="K182" s="54" t="inlineStr">
        <is>
          <t>150</t>
        </is>
      </c>
      <c r="L182" s="48" t="n"/>
      <c r="M182" s="48" t="n"/>
      <c r="N182" s="49" t="n"/>
      <c r="O182" s="54" t="inlineStr">
        <is>
          <t>Sí</t>
        </is>
      </c>
      <c r="P182" s="48" t="n"/>
      <c r="Q182" s="49" t="n"/>
      <c r="R182" s="54" t="n"/>
      <c r="S182" s="49" t="n"/>
      <c r="T182" s="54" t="n"/>
      <c r="U182" s="49" t="n"/>
      <c r="V182" s="54" t="n"/>
      <c r="W182" s="49" t="n"/>
      <c r="X182" s="53" t="n"/>
      <c r="Y182" s="49" t="n"/>
    </row>
    <row r="183" ht="30" customHeight="1" s="38">
      <c r="A183" s="52" t="n">
        <v>9</v>
      </c>
      <c r="B183" s="53" t="inlineStr">
        <is>
          <t>esta_disponible</t>
        </is>
      </c>
      <c r="C183" s="53" t="inlineStr">
        <is>
          <t>TRUE si está activo para ser solicitado</t>
        </is>
      </c>
      <c r="D183" s="48" t="n"/>
      <c r="E183" s="48" t="n"/>
      <c r="F183" s="49" t="n"/>
      <c r="G183" s="54" t="inlineStr">
        <is>
          <t>BOOLEAN</t>
        </is>
      </c>
      <c r="H183" s="48" t="n"/>
      <c r="I183" s="48" t="n"/>
      <c r="J183" s="49" t="n"/>
      <c r="K183" s="54" t="inlineStr">
        <is>
          <t>1 byte</t>
        </is>
      </c>
      <c r="L183" s="48" t="n"/>
      <c r="M183" s="48" t="n"/>
      <c r="N183" s="49" t="n"/>
      <c r="O183" s="54" t="inlineStr">
        <is>
          <t>No</t>
        </is>
      </c>
      <c r="P183" s="48" t="n"/>
      <c r="Q183" s="49" t="n"/>
      <c r="R183" s="54" t="n"/>
      <c r="S183" s="49" t="n"/>
      <c r="T183" s="54" t="n"/>
      <c r="U183" s="49" t="n"/>
      <c r="V183" s="54" t="n"/>
      <c r="W183" s="49" t="n"/>
      <c r="X183" s="53" t="inlineStr">
        <is>
          <t>DEFAULT true</t>
        </is>
      </c>
      <c r="Y183" s="49" t="n"/>
    </row>
    <row r="184" ht="30" customHeight="1" s="38">
      <c r="A184" s="52" t="n">
        <v>10</v>
      </c>
      <c r="B184" s="53" t="inlineStr">
        <is>
          <t>fecha_publicacion</t>
        </is>
      </c>
      <c r="C184" s="53" t="inlineStr">
        <is>
          <t>Fecha y hora de publicación de la oferta</t>
        </is>
      </c>
      <c r="D184" s="48" t="n"/>
      <c r="E184" s="48" t="n"/>
      <c r="F184" s="49" t="n"/>
      <c r="G184" s="54" t="inlineStr">
        <is>
          <t>TIMESTAMP</t>
        </is>
      </c>
      <c r="H184" s="48" t="n"/>
      <c r="I184" s="48" t="n"/>
      <c r="J184" s="49" t="n"/>
      <c r="K184" s="54" t="inlineStr">
        <is>
          <t>8 bytes</t>
        </is>
      </c>
      <c r="L184" s="48" t="n"/>
      <c r="M184" s="48" t="n"/>
      <c r="N184" s="49" t="n"/>
      <c r="O184" s="54" t="inlineStr">
        <is>
          <t>No</t>
        </is>
      </c>
      <c r="P184" s="48" t="n"/>
      <c r="Q184" s="49" t="n"/>
      <c r="R184" s="54" t="n"/>
      <c r="S184" s="49" t="n"/>
      <c r="T184" s="54" t="n"/>
      <c r="U184" s="49" t="n"/>
      <c r="V184" s="54" t="n"/>
      <c r="W184" s="49" t="n"/>
      <c r="X184" s="53" t="inlineStr">
        <is>
          <t>DEFAULT CURRENT_TIMESTAMP</t>
        </is>
      </c>
      <c r="Y184" s="49" t="n"/>
    </row>
    <row r="185" ht="15.75" customHeight="1" s="38"/>
    <row r="186" ht="15.75" customHeight="1" s="38"/>
    <row r="187" ht="32" customHeight="1" s="38">
      <c r="A187" s="24" t="n">
        <v>16</v>
      </c>
      <c r="B187" s="30" t="inlineStr">
        <is>
          <t>Tabla</t>
        </is>
      </c>
      <c r="C187" s="29">
        <f>B19</f>
        <v/>
      </c>
      <c r="D187" s="48" t="n"/>
      <c r="E187" s="48" t="n"/>
      <c r="F187" s="49" t="n"/>
      <c r="G187" s="28" t="inlineStr">
        <is>
          <t>Descripción Tabla</t>
        </is>
      </c>
      <c r="H187" s="48" t="n"/>
      <c r="I187" s="48" t="n"/>
      <c r="J187" s="49" t="n"/>
      <c r="K187" s="51">
        <f>F19</f>
        <v/>
      </c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9" t="n"/>
      <c r="X187" s="28" t="inlineStr">
        <is>
          <t>Versión</t>
        </is>
      </c>
      <c r="Y187" s="29" t="inlineStr">
        <is>
          <t>3.0</t>
        </is>
      </c>
    </row>
    <row r="188" ht="41.25" customHeight="1" s="38">
      <c r="A188" s="28" t="inlineStr">
        <is>
          <t>#</t>
        </is>
      </c>
      <c r="B188" s="28" t="inlineStr">
        <is>
          <t>Campo</t>
        </is>
      </c>
      <c r="C188" s="28" t="inlineStr">
        <is>
          <t>Descripción Campo</t>
        </is>
      </c>
      <c r="D188" s="48" t="n"/>
      <c r="E188" s="48" t="n"/>
      <c r="F188" s="49" t="n"/>
      <c r="G188" s="28" t="inlineStr">
        <is>
          <t>Tipo Dato
(PostgreSQL)</t>
        </is>
      </c>
      <c r="H188" s="48" t="n"/>
      <c r="I188" s="48" t="n"/>
      <c r="J188" s="49" t="n"/>
      <c r="K188" s="28" t="inlineStr">
        <is>
          <t>Tamaño / Longitud</t>
        </is>
      </c>
      <c r="L188" s="48" t="n"/>
      <c r="M188" s="48" t="n"/>
      <c r="N188" s="49" t="n"/>
      <c r="O188" s="28" t="inlineStr">
        <is>
          <t>Nulo</t>
        </is>
      </c>
      <c r="P188" s="48" t="n"/>
      <c r="Q188" s="49" t="n"/>
      <c r="R188" s="28" t="inlineStr">
        <is>
          <t>PK</t>
        </is>
      </c>
      <c r="S188" s="49" t="n"/>
      <c r="T188" s="28" t="inlineStr">
        <is>
          <t>FK</t>
        </is>
      </c>
      <c r="U188" s="49" t="n"/>
      <c r="V188" s="28" t="inlineStr">
        <is>
          <t>UK</t>
        </is>
      </c>
      <c r="W188" s="49" t="n"/>
      <c r="X188" s="28" t="inlineStr">
        <is>
          <t>Nota/Comentarios</t>
        </is>
      </c>
      <c r="Y188" s="49" t="n"/>
    </row>
    <row r="189" ht="30" customHeight="1" s="38">
      <c r="A189" s="52" t="n">
        <v>1</v>
      </c>
      <c r="B189" s="53" t="inlineStr">
        <is>
          <t>id_solicitud</t>
        </is>
      </c>
      <c r="C189" s="53" t="inlineStr">
        <is>
          <t>Identificador de la solicitud (traza)</t>
        </is>
      </c>
      <c r="D189" s="48" t="n"/>
      <c r="E189" s="48" t="n"/>
      <c r="F189" s="49" t="n"/>
      <c r="G189" s="54" t="inlineStr">
        <is>
          <t>BIGINT</t>
        </is>
      </c>
      <c r="H189" s="48" t="n"/>
      <c r="I189" s="48" t="n"/>
      <c r="J189" s="49" t="n"/>
      <c r="K189" s="54" t="inlineStr">
        <is>
          <t>8 bytes</t>
        </is>
      </c>
      <c r="L189" s="48" t="n"/>
      <c r="M189" s="48" t="n"/>
      <c r="N189" s="49" t="n"/>
      <c r="O189" s="54" t="inlineStr">
        <is>
          <t>No</t>
        </is>
      </c>
      <c r="P189" s="48" t="n"/>
      <c r="Q189" s="49" t="n"/>
      <c r="R189" s="54" t="inlineStr">
        <is>
          <t>S</t>
        </is>
      </c>
      <c r="S189" s="49" t="n"/>
      <c r="T189" s="54" t="n"/>
      <c r="U189" s="49" t="n"/>
      <c r="V189" s="54" t="n"/>
      <c r="W189" s="49" t="n"/>
      <c r="X189" s="53" t="inlineStr">
        <is>
          <t>GENERATED ALWAYS AS IDENTITY</t>
        </is>
      </c>
      <c r="Y189" s="49" t="n"/>
    </row>
    <row r="190" ht="30" customHeight="1" s="38">
      <c r="A190" s="52" t="n">
        <v>2</v>
      </c>
      <c r="B190" s="53" t="inlineStr">
        <is>
          <t>id_servicio</t>
        </is>
      </c>
      <c r="C190" s="53" t="inlineStr">
        <is>
          <t>Servicio solicitado</t>
        </is>
      </c>
      <c r="D190" s="48" t="n"/>
      <c r="E190" s="48" t="n"/>
      <c r="F190" s="49" t="n"/>
      <c r="G190" s="54" t="inlineStr">
        <is>
          <t>INTEGER</t>
        </is>
      </c>
      <c r="H190" s="48" t="n"/>
      <c r="I190" s="48" t="n"/>
      <c r="J190" s="49" t="n"/>
      <c r="K190" s="54" t="inlineStr">
        <is>
          <t>4 bytes</t>
        </is>
      </c>
      <c r="L190" s="48" t="n"/>
      <c r="M190" s="48" t="n"/>
      <c r="N190" s="49" t="n"/>
      <c r="O190" s="54" t="inlineStr">
        <is>
          <t>No</t>
        </is>
      </c>
      <c r="P190" s="48" t="n"/>
      <c r="Q190" s="49" t="n"/>
      <c r="R190" s="54" t="n"/>
      <c r="S190" s="49" t="n"/>
      <c r="T190" s="54" t="inlineStr">
        <is>
          <t>S</t>
        </is>
      </c>
      <c r="U190" s="49" t="n"/>
      <c r="V190" s="54" t="n"/>
      <c r="W190" s="49" t="n"/>
      <c r="X190" s="53" t="inlineStr">
        <is>
          <t>Ref. servicio(id_servicio) ON DELETE RESTRICT ON UPDATE CASCADE</t>
        </is>
      </c>
      <c r="Y190" s="49" t="n"/>
    </row>
    <row r="191" ht="30" customHeight="1" s="38">
      <c r="A191" s="52" t="n">
        <v>3</v>
      </c>
      <c r="B191" s="53" t="inlineStr">
        <is>
          <t>id_usuario_solicitante</t>
        </is>
      </c>
      <c r="C191" s="53" t="inlineStr">
        <is>
          <t>Usuario que contrata</t>
        </is>
      </c>
      <c r="D191" s="48" t="n"/>
      <c r="E191" s="48" t="n"/>
      <c r="F191" s="49" t="n"/>
      <c r="G191" s="54" t="inlineStr">
        <is>
          <t>INTEGER</t>
        </is>
      </c>
      <c r="H191" s="48" t="n"/>
      <c r="I191" s="48" t="n"/>
      <c r="J191" s="49" t="n"/>
      <c r="K191" s="54" t="inlineStr">
        <is>
          <t>4 bytes</t>
        </is>
      </c>
      <c r="L191" s="48" t="n"/>
      <c r="M191" s="48" t="n"/>
      <c r="N191" s="49" t="n"/>
      <c r="O191" s="54" t="inlineStr">
        <is>
          <t>No</t>
        </is>
      </c>
      <c r="P191" s="48" t="n"/>
      <c r="Q191" s="49" t="n"/>
      <c r="R191" s="54" t="n"/>
      <c r="S191" s="49" t="n"/>
      <c r="T191" s="54" t="inlineStr">
        <is>
          <t>S</t>
        </is>
      </c>
      <c r="U191" s="49" t="n"/>
      <c r="V191" s="54" t="n"/>
      <c r="W191" s="49" t="n"/>
      <c r="X191" s="53" t="inlineStr">
        <is>
          <t>Ref. usuario(id_usuario) ON DELETE RESTRICT ON UPDATE CASCADE</t>
        </is>
      </c>
      <c r="Y191" s="49" t="n"/>
    </row>
    <row r="192" ht="30" customHeight="1" s="38">
      <c r="A192" s="52" t="n">
        <v>4</v>
      </c>
      <c r="B192" s="53" t="inlineStr">
        <is>
          <t>fecha_solicitud</t>
        </is>
      </c>
      <c r="C192" s="53" t="inlineStr">
        <is>
          <t>Fecha y hora de la solicitud</t>
        </is>
      </c>
      <c r="D192" s="48" t="n"/>
      <c r="E192" s="48" t="n"/>
      <c r="F192" s="49" t="n"/>
      <c r="G192" s="54" t="inlineStr">
        <is>
          <t>TIMESTAMP</t>
        </is>
      </c>
      <c r="H192" s="48" t="n"/>
      <c r="I192" s="48" t="n"/>
      <c r="J192" s="49" t="n"/>
      <c r="K192" s="54" t="inlineStr">
        <is>
          <t>8 bytes</t>
        </is>
      </c>
      <c r="L192" s="48" t="n"/>
      <c r="M192" s="48" t="n"/>
      <c r="N192" s="49" t="n"/>
      <c r="O192" s="54" t="inlineStr">
        <is>
          <t>No</t>
        </is>
      </c>
      <c r="P192" s="48" t="n"/>
      <c r="Q192" s="49" t="n"/>
      <c r="R192" s="54" t="n"/>
      <c r="S192" s="49" t="n"/>
      <c r="T192" s="54" t="n"/>
      <c r="U192" s="49" t="n"/>
      <c r="V192" s="54" t="n"/>
      <c r="W192" s="49" t="n"/>
      <c r="X192" s="53" t="inlineStr">
        <is>
          <t>DEFAULT CURRENT_TIMESTAMP</t>
        </is>
      </c>
      <c r="Y192" s="49" t="n"/>
    </row>
    <row r="193" ht="45" customHeight="1" s="38">
      <c r="A193" s="52" t="n">
        <v>5</v>
      </c>
      <c r="B193" s="53" t="inlineStr">
        <is>
          <t>estado_solicitud</t>
        </is>
      </c>
      <c r="C193" s="53" t="inlineStr">
        <is>
          <t>Estado: pendiente, aceptada, rechazada, finalizada, cancelada</t>
        </is>
      </c>
      <c r="D193" s="48" t="n"/>
      <c r="E193" s="48" t="n"/>
      <c r="F193" s="49" t="n"/>
      <c r="G193" s="54" t="inlineStr">
        <is>
          <t>VARCHAR</t>
        </is>
      </c>
      <c r="H193" s="48" t="n"/>
      <c r="I193" s="48" t="n"/>
      <c r="J193" s="49" t="n"/>
      <c r="K193" s="54" t="inlineStr">
        <is>
          <t>12</t>
        </is>
      </c>
      <c r="L193" s="48" t="n"/>
      <c r="M193" s="48" t="n"/>
      <c r="N193" s="49" t="n"/>
      <c r="O193" s="54" t="inlineStr">
        <is>
          <t>No</t>
        </is>
      </c>
      <c r="P193" s="48" t="n"/>
      <c r="Q193" s="49" t="n"/>
      <c r="R193" s="54" t="n"/>
      <c r="S193" s="49" t="n"/>
      <c r="T193" s="54" t="n"/>
      <c r="U193" s="49" t="n"/>
      <c r="V193" s="54" t="n"/>
      <c r="W193" s="49" t="n"/>
      <c r="X193" s="53" t="inlineStr">
        <is>
          <t>DEFAULT 'pendiente'; CHECK (estado_solicitud)IN ('pendiente', 'aceptada', 'rechazada', 'finalizada', 'cancelada')</t>
        </is>
      </c>
      <c r="Y193" s="49" t="n"/>
    </row>
    <row r="194" ht="30" customHeight="1" s="38">
      <c r="A194" s="52" t="n">
        <v>6</v>
      </c>
      <c r="B194" s="53" t="inlineStr">
        <is>
          <t>valor_acordado</t>
        </is>
      </c>
      <c r="C194" s="53" t="inlineStr">
        <is>
          <t>Valor acordado entre las partes</t>
        </is>
      </c>
      <c r="D194" s="48" t="n"/>
      <c r="E194" s="48" t="n"/>
      <c r="F194" s="49" t="n"/>
      <c r="G194" s="54" t="inlineStr">
        <is>
          <t>NUMERIC</t>
        </is>
      </c>
      <c r="H194" s="48" t="n"/>
      <c r="I194" s="48" t="n"/>
      <c r="J194" s="49" t="n"/>
      <c r="K194" s="54" t="inlineStr">
        <is>
          <t>12,2</t>
        </is>
      </c>
      <c r="L194" s="48" t="n"/>
      <c r="M194" s="48" t="n"/>
      <c r="N194" s="49" t="n"/>
      <c r="O194" s="54" t="inlineStr">
        <is>
          <t>No</t>
        </is>
      </c>
      <c r="P194" s="48" t="n"/>
      <c r="Q194" s="49" t="n"/>
      <c r="R194" s="54" t="n"/>
      <c r="S194" s="49" t="n"/>
      <c r="T194" s="54" t="n"/>
      <c r="U194" s="49" t="n"/>
      <c r="V194" s="54" t="n"/>
      <c r="W194" s="49" t="n"/>
      <c r="X194" s="53" t="inlineStr">
        <is>
          <t>CHECK (valor_acordado &gt;= (0)</t>
        </is>
      </c>
      <c r="Y194" s="49" t="n"/>
    </row>
    <row r="195" ht="15.75" customHeight="1" s="38"/>
    <row r="196" ht="15.75" customHeight="1" s="38"/>
    <row r="197" ht="32" customHeight="1" s="38">
      <c r="A197" s="24" t="n">
        <v>17</v>
      </c>
      <c r="B197" s="30" t="inlineStr">
        <is>
          <t>Tabla</t>
        </is>
      </c>
      <c r="C197" s="29">
        <f>B20</f>
        <v/>
      </c>
      <c r="D197" s="48" t="n"/>
      <c r="E197" s="48" t="n"/>
      <c r="F197" s="49" t="n"/>
      <c r="G197" s="28" t="inlineStr">
        <is>
          <t>Descripción Tabla</t>
        </is>
      </c>
      <c r="H197" s="48" t="n"/>
      <c r="I197" s="48" t="n"/>
      <c r="J197" s="49" t="n"/>
      <c r="K197" s="51">
        <f>F20</f>
        <v/>
      </c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9" t="n"/>
      <c r="X197" s="28" t="inlineStr">
        <is>
          <t>Versión</t>
        </is>
      </c>
      <c r="Y197" s="29" t="inlineStr">
        <is>
          <t>3.0</t>
        </is>
      </c>
    </row>
    <row r="198" ht="41.25" customHeight="1" s="38">
      <c r="A198" s="28" t="inlineStr">
        <is>
          <t>#</t>
        </is>
      </c>
      <c r="B198" s="28" t="inlineStr">
        <is>
          <t>Campo</t>
        </is>
      </c>
      <c r="C198" s="28" t="inlineStr">
        <is>
          <t>Descripción Campo</t>
        </is>
      </c>
      <c r="D198" s="48" t="n"/>
      <c r="E198" s="48" t="n"/>
      <c r="F198" s="49" t="n"/>
      <c r="G198" s="28" t="inlineStr">
        <is>
          <t>Tipo Dato
(PostgreSQL)</t>
        </is>
      </c>
      <c r="H198" s="48" t="n"/>
      <c r="I198" s="48" t="n"/>
      <c r="J198" s="49" t="n"/>
      <c r="K198" s="28" t="inlineStr">
        <is>
          <t>Tamaño / Longitud</t>
        </is>
      </c>
      <c r="L198" s="48" t="n"/>
      <c r="M198" s="48" t="n"/>
      <c r="N198" s="49" t="n"/>
      <c r="O198" s="28" t="inlineStr">
        <is>
          <t>Nulo</t>
        </is>
      </c>
      <c r="P198" s="48" t="n"/>
      <c r="Q198" s="49" t="n"/>
      <c r="R198" s="28" t="inlineStr">
        <is>
          <t>PK</t>
        </is>
      </c>
      <c r="S198" s="49" t="n"/>
      <c r="T198" s="28" t="inlineStr">
        <is>
          <t>FK</t>
        </is>
      </c>
      <c r="U198" s="49" t="n"/>
      <c r="V198" s="28" t="inlineStr">
        <is>
          <t>UK</t>
        </is>
      </c>
      <c r="W198" s="49" t="n"/>
      <c r="X198" s="28" t="inlineStr">
        <is>
          <t>Nota/Comentarios</t>
        </is>
      </c>
      <c r="Y198" s="49" t="n"/>
    </row>
    <row r="199" ht="45" customHeight="1" s="38">
      <c r="A199" s="52" t="n">
        <v>1</v>
      </c>
      <c r="B199" s="53" t="inlineStr">
        <is>
          <t>id_solicitud</t>
        </is>
      </c>
      <c r="C199" s="53" t="inlineStr">
        <is>
          <t>Solicitud calificada (PK y FK, 1 calificación por contratación)</t>
        </is>
      </c>
      <c r="D199" s="48" t="n"/>
      <c r="E199" s="48" t="n"/>
      <c r="F199" s="49" t="n"/>
      <c r="G199" s="54" t="inlineStr">
        <is>
          <t>BIGINT</t>
        </is>
      </c>
      <c r="H199" s="48" t="n"/>
      <c r="I199" s="48" t="n"/>
      <c r="J199" s="49" t="n"/>
      <c r="K199" s="54" t="inlineStr">
        <is>
          <t>8 bytes</t>
        </is>
      </c>
      <c r="L199" s="48" t="n"/>
      <c r="M199" s="48" t="n"/>
      <c r="N199" s="49" t="n"/>
      <c r="O199" s="54" t="inlineStr">
        <is>
          <t>No</t>
        </is>
      </c>
      <c r="P199" s="48" t="n"/>
      <c r="Q199" s="49" t="n"/>
      <c r="R199" s="54" t="inlineStr">
        <is>
          <t>S</t>
        </is>
      </c>
      <c r="S199" s="49" t="n"/>
      <c r="T199" s="54" t="inlineStr">
        <is>
          <t>S</t>
        </is>
      </c>
      <c r="U199" s="49" t="n"/>
      <c r="V199" s="54" t="n"/>
      <c r="W199" s="49" t="n"/>
      <c r="X199" s="53" t="inlineStr">
        <is>
          <t>Ref. solicitud_servicio(id_solicitud) ON DELETE CASCADE ON UPDATE CASCADE</t>
        </is>
      </c>
      <c r="Y199" s="49" t="n"/>
    </row>
    <row r="200" ht="30" customHeight="1" s="38">
      <c r="A200" s="52" t="n">
        <v>2</v>
      </c>
      <c r="B200" s="53" t="inlineStr">
        <is>
          <t>puntuacion</t>
        </is>
      </c>
      <c r="C200" s="53" t="inlineStr">
        <is>
          <t>Puntuación de 1 a 5</t>
        </is>
      </c>
      <c r="D200" s="48" t="n"/>
      <c r="E200" s="48" t="n"/>
      <c r="F200" s="49" t="n"/>
      <c r="G200" s="54" t="inlineStr">
        <is>
          <t>SMALLINT</t>
        </is>
      </c>
      <c r="H200" s="48" t="n"/>
      <c r="I200" s="48" t="n"/>
      <c r="J200" s="49" t="n"/>
      <c r="K200" s="54" t="inlineStr">
        <is>
          <t>2 bytes</t>
        </is>
      </c>
      <c r="L200" s="48" t="n"/>
      <c r="M200" s="48" t="n"/>
      <c r="N200" s="49" t="n"/>
      <c r="O200" s="54" t="inlineStr">
        <is>
          <t>No</t>
        </is>
      </c>
      <c r="P200" s="48" t="n"/>
      <c r="Q200" s="49" t="n"/>
      <c r="R200" s="54" t="n"/>
      <c r="S200" s="49" t="n"/>
      <c r="T200" s="54" t="n"/>
      <c r="U200" s="49" t="n"/>
      <c r="V200" s="54" t="n"/>
      <c r="W200" s="49" t="n"/>
      <c r="X200" s="53" t="inlineStr">
        <is>
          <t>CHECK (puntuacion &gt;= 1) AND (puntuacion &lt;= 5)</t>
        </is>
      </c>
      <c r="Y200" s="49" t="n"/>
    </row>
    <row r="201" ht="30" customHeight="1" s="38">
      <c r="A201" s="52" t="n">
        <v>3</v>
      </c>
      <c r="B201" s="53" t="inlineStr">
        <is>
          <t>texto_calificacion</t>
        </is>
      </c>
      <c r="C201" s="53" t="inlineStr">
        <is>
          <t>Reseña escrita</t>
        </is>
      </c>
      <c r="D201" s="48" t="n"/>
      <c r="E201" s="48" t="n"/>
      <c r="F201" s="49" t="n"/>
      <c r="G201" s="54" t="inlineStr">
        <is>
          <t>VARCHAR</t>
        </is>
      </c>
      <c r="H201" s="48" t="n"/>
      <c r="I201" s="48" t="n"/>
      <c r="J201" s="49" t="n"/>
      <c r="K201" s="54" t="inlineStr">
        <is>
          <t>500</t>
        </is>
      </c>
      <c r="L201" s="48" t="n"/>
      <c r="M201" s="48" t="n"/>
      <c r="N201" s="49" t="n"/>
      <c r="O201" s="54" t="inlineStr">
        <is>
          <t>Sí</t>
        </is>
      </c>
      <c r="P201" s="48" t="n"/>
      <c r="Q201" s="49" t="n"/>
      <c r="R201" s="54" t="n"/>
      <c r="S201" s="49" t="n"/>
      <c r="T201" s="54" t="n"/>
      <c r="U201" s="49" t="n"/>
      <c r="V201" s="54" t="n"/>
      <c r="W201" s="49" t="n"/>
      <c r="X201" s="53" t="n"/>
      <c r="Y201" s="49" t="n"/>
    </row>
    <row r="202" ht="30" customHeight="1" s="38">
      <c r="A202" s="52" t="n">
        <v>4</v>
      </c>
      <c r="B202" s="53" t="inlineStr">
        <is>
          <t>fecha_calificacion</t>
        </is>
      </c>
      <c r="C202" s="53" t="inlineStr">
        <is>
          <t>Fecha y hora de la calificación</t>
        </is>
      </c>
      <c r="D202" s="48" t="n"/>
      <c r="E202" s="48" t="n"/>
      <c r="F202" s="49" t="n"/>
      <c r="G202" s="54" t="inlineStr">
        <is>
          <t>TIMESTAMP</t>
        </is>
      </c>
      <c r="H202" s="48" t="n"/>
      <c r="I202" s="48" t="n"/>
      <c r="J202" s="49" t="n"/>
      <c r="K202" s="54" t="inlineStr">
        <is>
          <t>8 bytes</t>
        </is>
      </c>
      <c r="L202" s="48" t="n"/>
      <c r="M202" s="48" t="n"/>
      <c r="N202" s="49" t="n"/>
      <c r="O202" s="54" t="inlineStr">
        <is>
          <t>No</t>
        </is>
      </c>
      <c r="P202" s="48" t="n"/>
      <c r="Q202" s="49" t="n"/>
      <c r="R202" s="54" t="n"/>
      <c r="S202" s="49" t="n"/>
      <c r="T202" s="54" t="n"/>
      <c r="U202" s="49" t="n"/>
      <c r="V202" s="54" t="n"/>
      <c r="W202" s="49" t="n"/>
      <c r="X202" s="53" t="inlineStr">
        <is>
          <t>DEFAULT CURRENT_TIMESTAMP</t>
        </is>
      </c>
      <c r="Y202" s="49" t="n"/>
    </row>
    <row r="203" ht="15.75" customHeight="1" s="38"/>
    <row r="204" ht="15.75" customHeight="1" s="38"/>
    <row r="205" ht="32" customHeight="1" s="38">
      <c r="A205" s="24" t="n">
        <v>18</v>
      </c>
      <c r="B205" s="30" t="inlineStr">
        <is>
          <t>Tabla</t>
        </is>
      </c>
      <c r="C205" s="29">
        <f>B21</f>
        <v/>
      </c>
      <c r="D205" s="48" t="n"/>
      <c r="E205" s="48" t="n"/>
      <c r="F205" s="49" t="n"/>
      <c r="G205" s="28" t="inlineStr">
        <is>
          <t>Descripción Tabla</t>
        </is>
      </c>
      <c r="H205" s="48" t="n"/>
      <c r="I205" s="48" t="n"/>
      <c r="J205" s="49" t="n"/>
      <c r="K205" s="51">
        <f>F21</f>
        <v/>
      </c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9" t="n"/>
      <c r="X205" s="28" t="inlineStr">
        <is>
          <t>Versión</t>
        </is>
      </c>
      <c r="Y205" s="29" t="inlineStr">
        <is>
          <t>3.0</t>
        </is>
      </c>
    </row>
    <row r="206" ht="41.25" customHeight="1" s="38">
      <c r="A206" s="28" t="inlineStr">
        <is>
          <t>#</t>
        </is>
      </c>
      <c r="B206" s="28" t="inlineStr">
        <is>
          <t>Campo</t>
        </is>
      </c>
      <c r="C206" s="28" t="inlineStr">
        <is>
          <t>Descripción Campo</t>
        </is>
      </c>
      <c r="D206" s="48" t="n"/>
      <c r="E206" s="48" t="n"/>
      <c r="F206" s="49" t="n"/>
      <c r="G206" s="28" t="inlineStr">
        <is>
          <t>Tipo Dato
(PostgreSQL)</t>
        </is>
      </c>
      <c r="H206" s="48" t="n"/>
      <c r="I206" s="48" t="n"/>
      <c r="J206" s="49" t="n"/>
      <c r="K206" s="28" t="inlineStr">
        <is>
          <t>Tamaño / Longitud</t>
        </is>
      </c>
      <c r="L206" s="48" t="n"/>
      <c r="M206" s="48" t="n"/>
      <c r="N206" s="49" t="n"/>
      <c r="O206" s="28" t="inlineStr">
        <is>
          <t>Nulo</t>
        </is>
      </c>
      <c r="P206" s="48" t="n"/>
      <c r="Q206" s="49" t="n"/>
      <c r="R206" s="28" t="inlineStr">
        <is>
          <t>PK</t>
        </is>
      </c>
      <c r="S206" s="49" t="n"/>
      <c r="T206" s="28" t="inlineStr">
        <is>
          <t>FK</t>
        </is>
      </c>
      <c r="U206" s="49" t="n"/>
      <c r="V206" s="28" t="inlineStr">
        <is>
          <t>UK</t>
        </is>
      </c>
      <c r="W206" s="49" t="n"/>
      <c r="X206" s="28" t="inlineStr">
        <is>
          <t>Nota/Comentarios</t>
        </is>
      </c>
      <c r="Y206" s="49" t="n"/>
    </row>
    <row r="207" ht="30" customHeight="1" s="38">
      <c r="A207" s="52" t="n">
        <v>1</v>
      </c>
      <c r="B207" s="53" t="inlineStr">
        <is>
          <t>id_tipo_producto</t>
        </is>
      </c>
      <c r="C207" s="53" t="inlineStr">
        <is>
          <t>Identificador del tipo de producto</t>
        </is>
      </c>
      <c r="D207" s="48" t="n"/>
      <c r="E207" s="48" t="n"/>
      <c r="F207" s="49" t="n"/>
      <c r="G207" s="54" t="inlineStr">
        <is>
          <t>SMALLINT</t>
        </is>
      </c>
      <c r="H207" s="48" t="n"/>
      <c r="I207" s="48" t="n"/>
      <c r="J207" s="49" t="n"/>
      <c r="K207" s="54" t="inlineStr">
        <is>
          <t>2 bytes</t>
        </is>
      </c>
      <c r="L207" s="48" t="n"/>
      <c r="M207" s="48" t="n"/>
      <c r="N207" s="49" t="n"/>
      <c r="O207" s="54" t="inlineStr">
        <is>
          <t>No</t>
        </is>
      </c>
      <c r="P207" s="48" t="n"/>
      <c r="Q207" s="49" t="n"/>
      <c r="R207" s="54" t="inlineStr">
        <is>
          <t>S</t>
        </is>
      </c>
      <c r="S207" s="49" t="n"/>
      <c r="T207" s="54" t="n"/>
      <c r="U207" s="49" t="n"/>
      <c r="V207" s="54" t="n"/>
      <c r="W207" s="49" t="n"/>
      <c r="X207" s="53" t="inlineStr">
        <is>
          <t>GENERATED ALWAYS AS IDENTITY</t>
        </is>
      </c>
      <c r="Y207" s="49" t="n"/>
    </row>
    <row r="208" ht="30" customHeight="1" s="38">
      <c r="A208" s="52" t="n">
        <v>2</v>
      </c>
      <c r="B208" s="53" t="inlineStr">
        <is>
          <t>id_usuario_registra</t>
        </is>
      </c>
      <c r="C208" s="53" t="inlineStr">
        <is>
          <t>Administrador que lo registró</t>
        </is>
      </c>
      <c r="D208" s="48" t="n"/>
      <c r="E208" s="48" t="n"/>
      <c r="F208" s="49" t="n"/>
      <c r="G208" s="54" t="inlineStr">
        <is>
          <t>INTEGER</t>
        </is>
      </c>
      <c r="H208" s="48" t="n"/>
      <c r="I208" s="48" t="n"/>
      <c r="J208" s="49" t="n"/>
      <c r="K208" s="54" t="inlineStr">
        <is>
          <t>4 bytes</t>
        </is>
      </c>
      <c r="L208" s="48" t="n"/>
      <c r="M208" s="48" t="n"/>
      <c r="N208" s="49" t="n"/>
      <c r="O208" s="54" t="inlineStr">
        <is>
          <t>No</t>
        </is>
      </c>
      <c r="P208" s="48" t="n"/>
      <c r="Q208" s="49" t="n"/>
      <c r="R208" s="54" t="n"/>
      <c r="S208" s="49" t="n"/>
      <c r="T208" s="54" t="inlineStr">
        <is>
          <t>S</t>
        </is>
      </c>
      <c r="U208" s="49" t="n"/>
      <c r="V208" s="54" t="n"/>
      <c r="W208" s="49" t="n"/>
      <c r="X208" s="53" t="inlineStr">
        <is>
          <t>Ref. usuario(id_usuario) ON DELETE RESTRICT ON UPDATE CASCADE</t>
        </is>
      </c>
      <c r="Y208" s="49" t="n"/>
    </row>
    <row r="209" ht="30" customHeight="1" s="38">
      <c r="A209" s="52" t="n">
        <v>3</v>
      </c>
      <c r="B209" s="53" t="inlineStr">
        <is>
          <t>nombre_tipo_producto</t>
        </is>
      </c>
      <c r="C209" s="53" t="inlineStr">
        <is>
          <t>Nombre de la categoría</t>
        </is>
      </c>
      <c r="D209" s="48" t="n"/>
      <c r="E209" s="48" t="n"/>
      <c r="F209" s="49" t="n"/>
      <c r="G209" s="54" t="inlineStr">
        <is>
          <t>VARCHAR</t>
        </is>
      </c>
      <c r="H209" s="48" t="n"/>
      <c r="I209" s="48" t="n"/>
      <c r="J209" s="49" t="n"/>
      <c r="K209" s="54" t="inlineStr">
        <is>
          <t>60</t>
        </is>
      </c>
      <c r="L209" s="48" t="n"/>
      <c r="M209" s="48" t="n"/>
      <c r="N209" s="49" t="n"/>
      <c r="O209" s="54" t="inlineStr">
        <is>
          <t>No</t>
        </is>
      </c>
      <c r="P209" s="48" t="n"/>
      <c r="Q209" s="49" t="n"/>
      <c r="R209" s="54" t="n"/>
      <c r="S209" s="49" t="n"/>
      <c r="T209" s="54" t="n"/>
      <c r="U209" s="49" t="n"/>
      <c r="V209" s="54" t="inlineStr">
        <is>
          <t>S</t>
        </is>
      </c>
      <c r="W209" s="49" t="n"/>
      <c r="X209" s="53" t="n"/>
      <c r="Y209" s="49" t="n"/>
    </row>
    <row r="210" ht="30" customHeight="1" s="38">
      <c r="A210" s="52" t="n">
        <v>4</v>
      </c>
      <c r="B210" s="53" t="inlineStr">
        <is>
          <t>descripcion_tipo_producto</t>
        </is>
      </c>
      <c r="C210" s="53" t="inlineStr">
        <is>
          <t>Aclaración del alcance</t>
        </is>
      </c>
      <c r="D210" s="48" t="n"/>
      <c r="E210" s="48" t="n"/>
      <c r="F210" s="49" t="n"/>
      <c r="G210" s="54" t="inlineStr">
        <is>
          <t>VARCHAR</t>
        </is>
      </c>
      <c r="H210" s="48" t="n"/>
      <c r="I210" s="48" t="n"/>
      <c r="J210" s="49" t="n"/>
      <c r="K210" s="54" t="inlineStr">
        <is>
          <t>255</t>
        </is>
      </c>
      <c r="L210" s="48" t="n"/>
      <c r="M210" s="48" t="n"/>
      <c r="N210" s="49" t="n"/>
      <c r="O210" s="54" t="inlineStr">
        <is>
          <t>Sí</t>
        </is>
      </c>
      <c r="P210" s="48" t="n"/>
      <c r="Q210" s="49" t="n"/>
      <c r="R210" s="54" t="n"/>
      <c r="S210" s="49" t="n"/>
      <c r="T210" s="54" t="n"/>
      <c r="U210" s="49" t="n"/>
      <c r="V210" s="54" t="n"/>
      <c r="W210" s="49" t="n"/>
      <c r="X210" s="53" t="n"/>
      <c r="Y210" s="49" t="n"/>
    </row>
    <row r="211" ht="30" customHeight="1" s="38">
      <c r="A211" s="52" t="n">
        <v>5</v>
      </c>
      <c r="B211" s="53" t="inlineStr">
        <is>
          <t>estado_tipo_producto</t>
        </is>
      </c>
      <c r="C211" s="53" t="inlineStr">
        <is>
          <t>TRUE si está vigente</t>
        </is>
      </c>
      <c r="D211" s="48" t="n"/>
      <c r="E211" s="48" t="n"/>
      <c r="F211" s="49" t="n"/>
      <c r="G211" s="54" t="inlineStr">
        <is>
          <t>BOOLEAN</t>
        </is>
      </c>
      <c r="H211" s="48" t="n"/>
      <c r="I211" s="48" t="n"/>
      <c r="J211" s="49" t="n"/>
      <c r="K211" s="54" t="inlineStr">
        <is>
          <t>1 byte</t>
        </is>
      </c>
      <c r="L211" s="48" t="n"/>
      <c r="M211" s="48" t="n"/>
      <c r="N211" s="49" t="n"/>
      <c r="O211" s="54" t="inlineStr">
        <is>
          <t>No</t>
        </is>
      </c>
      <c r="P211" s="48" t="n"/>
      <c r="Q211" s="49" t="n"/>
      <c r="R211" s="54" t="n"/>
      <c r="S211" s="49" t="n"/>
      <c r="T211" s="54" t="n"/>
      <c r="U211" s="49" t="n"/>
      <c r="V211" s="54" t="n"/>
      <c r="W211" s="49" t="n"/>
      <c r="X211" s="53" t="inlineStr">
        <is>
          <t>DEFAULT true</t>
        </is>
      </c>
      <c r="Y211" s="49" t="n"/>
    </row>
    <row r="212" ht="15.75" customHeight="1" s="38"/>
    <row r="213" ht="15.75" customHeight="1" s="38"/>
    <row r="214" ht="32" customHeight="1" s="38">
      <c r="A214" s="24" t="n">
        <v>19</v>
      </c>
      <c r="B214" s="30" t="inlineStr">
        <is>
          <t>Tabla</t>
        </is>
      </c>
      <c r="C214" s="29">
        <f>B22</f>
        <v/>
      </c>
      <c r="D214" s="48" t="n"/>
      <c r="E214" s="48" t="n"/>
      <c r="F214" s="49" t="n"/>
      <c r="G214" s="28" t="inlineStr">
        <is>
          <t>Descripción Tabla</t>
        </is>
      </c>
      <c r="H214" s="48" t="n"/>
      <c r="I214" s="48" t="n"/>
      <c r="J214" s="49" t="n"/>
      <c r="K214" s="51">
        <f>F22</f>
        <v/>
      </c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9" t="n"/>
      <c r="X214" s="28" t="inlineStr">
        <is>
          <t>Versión</t>
        </is>
      </c>
      <c r="Y214" s="29" t="inlineStr">
        <is>
          <t>3.0</t>
        </is>
      </c>
    </row>
    <row r="215" ht="41.25" customHeight="1" s="38">
      <c r="A215" s="28" t="inlineStr">
        <is>
          <t>#</t>
        </is>
      </c>
      <c r="B215" s="28" t="inlineStr">
        <is>
          <t>Campo</t>
        </is>
      </c>
      <c r="C215" s="28" t="inlineStr">
        <is>
          <t>Descripción Campo</t>
        </is>
      </c>
      <c r="D215" s="48" t="n"/>
      <c r="E215" s="48" t="n"/>
      <c r="F215" s="49" t="n"/>
      <c r="G215" s="28" t="inlineStr">
        <is>
          <t>Tipo Dato
(PostgreSQL)</t>
        </is>
      </c>
      <c r="H215" s="48" t="n"/>
      <c r="I215" s="48" t="n"/>
      <c r="J215" s="49" t="n"/>
      <c r="K215" s="28" t="inlineStr">
        <is>
          <t>Tamaño / Longitud</t>
        </is>
      </c>
      <c r="L215" s="48" t="n"/>
      <c r="M215" s="48" t="n"/>
      <c r="N215" s="49" t="n"/>
      <c r="O215" s="28" t="inlineStr">
        <is>
          <t>Nulo</t>
        </is>
      </c>
      <c r="P215" s="48" t="n"/>
      <c r="Q215" s="49" t="n"/>
      <c r="R215" s="28" t="inlineStr">
        <is>
          <t>PK</t>
        </is>
      </c>
      <c r="S215" s="49" t="n"/>
      <c r="T215" s="28" t="inlineStr">
        <is>
          <t>FK</t>
        </is>
      </c>
      <c r="U215" s="49" t="n"/>
      <c r="V215" s="28" t="inlineStr">
        <is>
          <t>UK</t>
        </is>
      </c>
      <c r="W215" s="49" t="n"/>
      <c r="X215" s="28" t="inlineStr">
        <is>
          <t>Nota/Comentarios</t>
        </is>
      </c>
      <c r="Y215" s="49" t="n"/>
    </row>
    <row r="216" ht="30" customHeight="1" s="38">
      <c r="A216" s="52" t="n">
        <v>1</v>
      </c>
      <c r="B216" s="53" t="inlineStr">
        <is>
          <t>id_producto</t>
        </is>
      </c>
      <c r="C216" s="53" t="inlineStr">
        <is>
          <t>Identificador del producto</t>
        </is>
      </c>
      <c r="D216" s="48" t="n"/>
      <c r="E216" s="48" t="n"/>
      <c r="F216" s="49" t="n"/>
      <c r="G216" s="54" t="inlineStr">
        <is>
          <t>INTEGER</t>
        </is>
      </c>
      <c r="H216" s="48" t="n"/>
      <c r="I216" s="48" t="n"/>
      <c r="J216" s="49" t="n"/>
      <c r="K216" s="54" t="inlineStr">
        <is>
          <t>4 bytes</t>
        </is>
      </c>
      <c r="L216" s="48" t="n"/>
      <c r="M216" s="48" t="n"/>
      <c r="N216" s="49" t="n"/>
      <c r="O216" s="54" t="inlineStr">
        <is>
          <t>No</t>
        </is>
      </c>
      <c r="P216" s="48" t="n"/>
      <c r="Q216" s="49" t="n"/>
      <c r="R216" s="54" t="inlineStr">
        <is>
          <t>S</t>
        </is>
      </c>
      <c r="S216" s="49" t="n"/>
      <c r="T216" s="54" t="n"/>
      <c r="U216" s="49" t="n"/>
      <c r="V216" s="54" t="n"/>
      <c r="W216" s="49" t="n"/>
      <c r="X216" s="53" t="inlineStr">
        <is>
          <t>GENERATED ALWAYS AS IDENTITY</t>
        </is>
      </c>
      <c r="Y216" s="49" t="n"/>
    </row>
    <row r="217" ht="30" customHeight="1" s="38">
      <c r="A217" s="52" t="n">
        <v>2</v>
      </c>
      <c r="B217" s="53" t="inlineStr">
        <is>
          <t>id_usuario</t>
        </is>
      </c>
      <c r="C217" s="53" t="inlineStr">
        <is>
          <t>Usuario vendedor</t>
        </is>
      </c>
      <c r="D217" s="48" t="n"/>
      <c r="E217" s="48" t="n"/>
      <c r="F217" s="49" t="n"/>
      <c r="G217" s="54" t="inlineStr">
        <is>
          <t>INTEGER</t>
        </is>
      </c>
      <c r="H217" s="48" t="n"/>
      <c r="I217" s="48" t="n"/>
      <c r="J217" s="49" t="n"/>
      <c r="K217" s="54" t="inlineStr">
        <is>
          <t>4 bytes</t>
        </is>
      </c>
      <c r="L217" s="48" t="n"/>
      <c r="M217" s="48" t="n"/>
      <c r="N217" s="49" t="n"/>
      <c r="O217" s="54" t="inlineStr">
        <is>
          <t>No</t>
        </is>
      </c>
      <c r="P217" s="48" t="n"/>
      <c r="Q217" s="49" t="n"/>
      <c r="R217" s="54" t="n"/>
      <c r="S217" s="49" t="n"/>
      <c r="T217" s="54" t="inlineStr">
        <is>
          <t>S</t>
        </is>
      </c>
      <c r="U217" s="49" t="n"/>
      <c r="V217" s="54" t="n"/>
      <c r="W217" s="49" t="n"/>
      <c r="X217" s="53" t="inlineStr">
        <is>
          <t>Ref. usuario(id_usuario) ON DELETE RESTRICT ON UPDATE CASCADE</t>
        </is>
      </c>
      <c r="Y217" s="49" t="n"/>
    </row>
    <row r="218" ht="30" customHeight="1" s="38">
      <c r="A218" s="52" t="n">
        <v>3</v>
      </c>
      <c r="B218" s="53" t="inlineStr">
        <is>
          <t>id_tipo_producto</t>
        </is>
      </c>
      <c r="C218" s="53" t="inlineStr">
        <is>
          <t>Categoría del producto</t>
        </is>
      </c>
      <c r="D218" s="48" t="n"/>
      <c r="E218" s="48" t="n"/>
      <c r="F218" s="49" t="n"/>
      <c r="G218" s="54" t="inlineStr">
        <is>
          <t>SMALLINT</t>
        </is>
      </c>
      <c r="H218" s="48" t="n"/>
      <c r="I218" s="48" t="n"/>
      <c r="J218" s="49" t="n"/>
      <c r="K218" s="54" t="inlineStr">
        <is>
          <t>2 bytes</t>
        </is>
      </c>
      <c r="L218" s="48" t="n"/>
      <c r="M218" s="48" t="n"/>
      <c r="N218" s="49" t="n"/>
      <c r="O218" s="54" t="inlineStr">
        <is>
          <t>No</t>
        </is>
      </c>
      <c r="P218" s="48" t="n"/>
      <c r="Q218" s="49" t="n"/>
      <c r="R218" s="54" t="n"/>
      <c r="S218" s="49" t="n"/>
      <c r="T218" s="54" t="inlineStr">
        <is>
          <t>S</t>
        </is>
      </c>
      <c r="U218" s="49" t="n"/>
      <c r="V218" s="54" t="n"/>
      <c r="W218" s="49" t="n"/>
      <c r="X218" s="53" t="inlineStr">
        <is>
          <t>Ref. tipo_producto(id_tipo_producto) ON DELETE RESTRICT ON UPDATE CASCADE</t>
        </is>
      </c>
      <c r="Y218" s="49" t="n"/>
    </row>
    <row r="219" ht="30" customHeight="1" s="38">
      <c r="A219" s="52" t="n">
        <v>4</v>
      </c>
      <c r="B219" s="53" t="inlineStr">
        <is>
          <t>nombre_producto</t>
        </is>
      </c>
      <c r="C219" s="53" t="inlineStr">
        <is>
          <t>Nombre del artículo</t>
        </is>
      </c>
      <c r="D219" s="48" t="n"/>
      <c r="E219" s="48" t="n"/>
      <c r="F219" s="49" t="n"/>
      <c r="G219" s="54" t="inlineStr">
        <is>
          <t>VARCHAR</t>
        </is>
      </c>
      <c r="H219" s="48" t="n"/>
      <c r="I219" s="48" t="n"/>
      <c r="J219" s="49" t="n"/>
      <c r="K219" s="54" t="inlineStr">
        <is>
          <t>100</t>
        </is>
      </c>
      <c r="L219" s="48" t="n"/>
      <c r="M219" s="48" t="n"/>
      <c r="N219" s="49" t="n"/>
      <c r="O219" s="54" t="inlineStr">
        <is>
          <t>No</t>
        </is>
      </c>
      <c r="P219" s="48" t="n"/>
      <c r="Q219" s="49" t="n"/>
      <c r="R219" s="54" t="n"/>
      <c r="S219" s="49" t="n"/>
      <c r="T219" s="54" t="n"/>
      <c r="U219" s="49" t="n"/>
      <c r="V219" s="54" t="n"/>
      <c r="W219" s="49" t="n"/>
      <c r="X219" s="53" t="n"/>
      <c r="Y219" s="49" t="n"/>
    </row>
    <row r="220" ht="30" customHeight="1" s="38">
      <c r="A220" s="52" t="n">
        <v>5</v>
      </c>
      <c r="B220" s="53" t="inlineStr">
        <is>
          <t>descripcion_producto</t>
        </is>
      </c>
      <c r="C220" s="53" t="inlineStr">
        <is>
          <t>Características del artículo</t>
        </is>
      </c>
      <c r="D220" s="48" t="n"/>
      <c r="E220" s="48" t="n"/>
      <c r="F220" s="49" t="n"/>
      <c r="G220" s="54" t="inlineStr">
        <is>
          <t>VARCHAR</t>
        </is>
      </c>
      <c r="H220" s="48" t="n"/>
      <c r="I220" s="48" t="n"/>
      <c r="J220" s="49" t="n"/>
      <c r="K220" s="54" t="inlineStr">
        <is>
          <t>1000</t>
        </is>
      </c>
      <c r="L220" s="48" t="n"/>
      <c r="M220" s="48" t="n"/>
      <c r="N220" s="49" t="n"/>
      <c r="O220" s="54" t="inlineStr">
        <is>
          <t>Sí</t>
        </is>
      </c>
      <c r="P220" s="48" t="n"/>
      <c r="Q220" s="49" t="n"/>
      <c r="R220" s="54" t="n"/>
      <c r="S220" s="49" t="n"/>
      <c r="T220" s="54" t="n"/>
      <c r="U220" s="49" t="n"/>
      <c r="V220" s="54" t="n"/>
      <c r="W220" s="49" t="n"/>
      <c r="X220" s="53" t="n"/>
      <c r="Y220" s="49" t="n"/>
    </row>
    <row r="221" ht="30" customHeight="1" s="38">
      <c r="A221" s="52" t="n">
        <v>6</v>
      </c>
      <c r="B221" s="53" t="inlineStr">
        <is>
          <t>precio_producto</t>
        </is>
      </c>
      <c r="C221" s="53" t="inlineStr">
        <is>
          <t>Precio unitario de venta</t>
        </is>
      </c>
      <c r="D221" s="48" t="n"/>
      <c r="E221" s="48" t="n"/>
      <c r="F221" s="49" t="n"/>
      <c r="G221" s="54" t="inlineStr">
        <is>
          <t>NUMERIC</t>
        </is>
      </c>
      <c r="H221" s="48" t="n"/>
      <c r="I221" s="48" t="n"/>
      <c r="J221" s="49" t="n"/>
      <c r="K221" s="54" t="inlineStr">
        <is>
          <t>12,2</t>
        </is>
      </c>
      <c r="L221" s="48" t="n"/>
      <c r="M221" s="48" t="n"/>
      <c r="N221" s="49" t="n"/>
      <c r="O221" s="54" t="inlineStr">
        <is>
          <t>No</t>
        </is>
      </c>
      <c r="P221" s="48" t="n"/>
      <c r="Q221" s="49" t="n"/>
      <c r="R221" s="54" t="n"/>
      <c r="S221" s="49" t="n"/>
      <c r="T221" s="54" t="n"/>
      <c r="U221" s="49" t="n"/>
      <c r="V221" s="54" t="n"/>
      <c r="W221" s="49" t="n"/>
      <c r="X221" s="53" t="inlineStr">
        <is>
          <t>CHECK (precio_producto &gt;= (0)</t>
        </is>
      </c>
      <c r="Y221" s="49" t="n"/>
    </row>
    <row r="222" ht="30" customHeight="1" s="38">
      <c r="A222" s="52" t="n">
        <v>7</v>
      </c>
      <c r="B222" s="53" t="inlineStr">
        <is>
          <t>cantidad_disponible</t>
        </is>
      </c>
      <c r="C222" s="53" t="inlineStr">
        <is>
          <t>Unidades disponibles</t>
        </is>
      </c>
      <c r="D222" s="48" t="n"/>
      <c r="E222" s="48" t="n"/>
      <c r="F222" s="49" t="n"/>
      <c r="G222" s="54" t="inlineStr">
        <is>
          <t>INTEGER</t>
        </is>
      </c>
      <c r="H222" s="48" t="n"/>
      <c r="I222" s="48" t="n"/>
      <c r="J222" s="49" t="n"/>
      <c r="K222" s="54" t="inlineStr">
        <is>
          <t>4 bytes</t>
        </is>
      </c>
      <c r="L222" s="48" t="n"/>
      <c r="M222" s="48" t="n"/>
      <c r="N222" s="49" t="n"/>
      <c r="O222" s="54" t="inlineStr">
        <is>
          <t>No</t>
        </is>
      </c>
      <c r="P222" s="48" t="n"/>
      <c r="Q222" s="49" t="n"/>
      <c r="R222" s="54" t="n"/>
      <c r="S222" s="49" t="n"/>
      <c r="T222" s="54" t="n"/>
      <c r="U222" s="49" t="n"/>
      <c r="V222" s="54" t="n"/>
      <c r="W222" s="49" t="n"/>
      <c r="X222" s="53" t="inlineStr">
        <is>
          <t>DEFAULT 1; CHECK (cantidad_disponible &gt;= 0)</t>
        </is>
      </c>
      <c r="Y222" s="49" t="n"/>
    </row>
    <row r="223" ht="30" customHeight="1" s="38">
      <c r="A223" s="52" t="n">
        <v>8</v>
      </c>
      <c r="B223" s="53" t="inlineStr">
        <is>
          <t>es_nuevo</t>
        </is>
      </c>
      <c r="C223" s="53" t="inlineStr">
        <is>
          <t>TRUE si el producto es nuevo; FALSE si es usado</t>
        </is>
      </c>
      <c r="D223" s="48" t="n"/>
      <c r="E223" s="48" t="n"/>
      <c r="F223" s="49" t="n"/>
      <c r="G223" s="54" t="inlineStr">
        <is>
          <t>BOOLEAN</t>
        </is>
      </c>
      <c r="H223" s="48" t="n"/>
      <c r="I223" s="48" t="n"/>
      <c r="J223" s="49" t="n"/>
      <c r="K223" s="54" t="inlineStr">
        <is>
          <t>1 byte</t>
        </is>
      </c>
      <c r="L223" s="48" t="n"/>
      <c r="M223" s="48" t="n"/>
      <c r="N223" s="49" t="n"/>
      <c r="O223" s="54" t="inlineStr">
        <is>
          <t>No</t>
        </is>
      </c>
      <c r="P223" s="48" t="n"/>
      <c r="Q223" s="49" t="n"/>
      <c r="R223" s="54" t="n"/>
      <c r="S223" s="49" t="n"/>
      <c r="T223" s="54" t="n"/>
      <c r="U223" s="49" t="n"/>
      <c r="V223" s="54" t="n"/>
      <c r="W223" s="49" t="n"/>
      <c r="X223" s="53" t="inlineStr">
        <is>
          <t>DEFAULT true</t>
        </is>
      </c>
      <c r="Y223" s="49" t="n"/>
    </row>
    <row r="224" ht="30" customHeight="1" s="38">
      <c r="A224" s="52" t="n">
        <v>9</v>
      </c>
      <c r="B224" s="53" t="inlineStr">
        <is>
          <t>fecha_publicacion</t>
        </is>
      </c>
      <c r="C224" s="53" t="inlineStr">
        <is>
          <t>Fecha y hora de publicación</t>
        </is>
      </c>
      <c r="D224" s="48" t="n"/>
      <c r="E224" s="48" t="n"/>
      <c r="F224" s="49" t="n"/>
      <c r="G224" s="54" t="inlineStr">
        <is>
          <t>TIMESTAMP</t>
        </is>
      </c>
      <c r="H224" s="48" t="n"/>
      <c r="I224" s="48" t="n"/>
      <c r="J224" s="49" t="n"/>
      <c r="K224" s="54" t="inlineStr">
        <is>
          <t>8 bytes</t>
        </is>
      </c>
      <c r="L224" s="48" t="n"/>
      <c r="M224" s="48" t="n"/>
      <c r="N224" s="49" t="n"/>
      <c r="O224" s="54" t="inlineStr">
        <is>
          <t>No</t>
        </is>
      </c>
      <c r="P224" s="48" t="n"/>
      <c r="Q224" s="49" t="n"/>
      <c r="R224" s="54" t="n"/>
      <c r="S224" s="49" t="n"/>
      <c r="T224" s="54" t="n"/>
      <c r="U224" s="49" t="n"/>
      <c r="V224" s="54" t="n"/>
      <c r="W224" s="49" t="n"/>
      <c r="X224" s="53" t="inlineStr">
        <is>
          <t>DEFAULT CURRENT_TIMESTAMP</t>
        </is>
      </c>
      <c r="Y224" s="49" t="n"/>
    </row>
    <row r="225" ht="45" customHeight="1" s="38">
      <c r="A225" s="52" t="n">
        <v>10</v>
      </c>
      <c r="B225" s="53" t="inlineStr">
        <is>
          <t>estado_producto</t>
        </is>
      </c>
      <c r="C225" s="53" t="inlineStr">
        <is>
          <t>Estado: disponible, reservado, vendido, retirado</t>
        </is>
      </c>
      <c r="D225" s="48" t="n"/>
      <c r="E225" s="48" t="n"/>
      <c r="F225" s="49" t="n"/>
      <c r="G225" s="54" t="inlineStr">
        <is>
          <t>VARCHAR</t>
        </is>
      </c>
      <c r="H225" s="48" t="n"/>
      <c r="I225" s="48" t="n"/>
      <c r="J225" s="49" t="n"/>
      <c r="K225" s="54" t="inlineStr">
        <is>
          <t>12</t>
        </is>
      </c>
      <c r="L225" s="48" t="n"/>
      <c r="M225" s="48" t="n"/>
      <c r="N225" s="49" t="n"/>
      <c r="O225" s="54" t="inlineStr">
        <is>
          <t>No</t>
        </is>
      </c>
      <c r="P225" s="48" t="n"/>
      <c r="Q225" s="49" t="n"/>
      <c r="R225" s="54" t="n"/>
      <c r="S225" s="49" t="n"/>
      <c r="T225" s="54" t="n"/>
      <c r="U225" s="49" t="n"/>
      <c r="V225" s="54" t="n"/>
      <c r="W225" s="49" t="n"/>
      <c r="X225" s="53" t="inlineStr">
        <is>
          <t>DEFAULT 'disponible'; CHECK (estado_producto)IN ('disponible', 'reservado', 'vendido', 'retirado')</t>
        </is>
      </c>
      <c r="Y225" s="49" t="n"/>
    </row>
    <row r="226" ht="15.75" customHeight="1" s="38"/>
    <row r="227" ht="15.75" customHeight="1" s="38"/>
    <row r="228" ht="32" customHeight="1" s="38">
      <c r="A228" s="24" t="n">
        <v>20</v>
      </c>
      <c r="B228" s="30" t="inlineStr">
        <is>
          <t>Tabla</t>
        </is>
      </c>
      <c r="C228" s="29">
        <f>B23</f>
        <v/>
      </c>
      <c r="D228" s="48" t="n"/>
      <c r="E228" s="48" t="n"/>
      <c r="F228" s="49" t="n"/>
      <c r="G228" s="28" t="inlineStr">
        <is>
          <t>Descripción Tabla</t>
        </is>
      </c>
      <c r="H228" s="48" t="n"/>
      <c r="I228" s="48" t="n"/>
      <c r="J228" s="49" t="n"/>
      <c r="K228" s="51">
        <f>F23</f>
        <v/>
      </c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9" t="n"/>
      <c r="X228" s="28" t="inlineStr">
        <is>
          <t>Versión</t>
        </is>
      </c>
      <c r="Y228" s="29" t="inlineStr">
        <is>
          <t>3.0</t>
        </is>
      </c>
    </row>
    <row r="229" ht="41.25" customHeight="1" s="38">
      <c r="A229" s="28" t="inlineStr">
        <is>
          <t>#</t>
        </is>
      </c>
      <c r="B229" s="28" t="inlineStr">
        <is>
          <t>Campo</t>
        </is>
      </c>
      <c r="C229" s="28" t="inlineStr">
        <is>
          <t>Descripción Campo</t>
        </is>
      </c>
      <c r="D229" s="48" t="n"/>
      <c r="E229" s="48" t="n"/>
      <c r="F229" s="49" t="n"/>
      <c r="G229" s="28" t="inlineStr">
        <is>
          <t>Tipo Dato
(PostgreSQL)</t>
        </is>
      </c>
      <c r="H229" s="48" t="n"/>
      <c r="I229" s="48" t="n"/>
      <c r="J229" s="49" t="n"/>
      <c r="K229" s="28" t="inlineStr">
        <is>
          <t>Tamaño / Longitud</t>
        </is>
      </c>
      <c r="L229" s="48" t="n"/>
      <c r="M229" s="48" t="n"/>
      <c r="N229" s="49" t="n"/>
      <c r="O229" s="28" t="inlineStr">
        <is>
          <t>Nulo</t>
        </is>
      </c>
      <c r="P229" s="48" t="n"/>
      <c r="Q229" s="49" t="n"/>
      <c r="R229" s="28" t="inlineStr">
        <is>
          <t>PK</t>
        </is>
      </c>
      <c r="S229" s="49" t="n"/>
      <c r="T229" s="28" t="inlineStr">
        <is>
          <t>FK</t>
        </is>
      </c>
      <c r="U229" s="49" t="n"/>
      <c r="V229" s="28" t="inlineStr">
        <is>
          <t>UK</t>
        </is>
      </c>
      <c r="W229" s="49" t="n"/>
      <c r="X229" s="28" t="inlineStr">
        <is>
          <t>Nota/Comentarios</t>
        </is>
      </c>
      <c r="Y229" s="49" t="n"/>
    </row>
    <row r="230" ht="30" customHeight="1" s="38">
      <c r="A230" s="52" t="n">
        <v>1</v>
      </c>
      <c r="B230" s="53" t="inlineStr">
        <is>
          <t>id_compra</t>
        </is>
      </c>
      <c r="C230" s="53" t="inlineStr">
        <is>
          <t>Identificador de la compra (traza de venta)</t>
        </is>
      </c>
      <c r="D230" s="48" t="n"/>
      <c r="E230" s="48" t="n"/>
      <c r="F230" s="49" t="n"/>
      <c r="G230" s="54" t="inlineStr">
        <is>
          <t>BIGINT</t>
        </is>
      </c>
      <c r="H230" s="48" t="n"/>
      <c r="I230" s="48" t="n"/>
      <c r="J230" s="49" t="n"/>
      <c r="K230" s="54" t="inlineStr">
        <is>
          <t>8 bytes</t>
        </is>
      </c>
      <c r="L230" s="48" t="n"/>
      <c r="M230" s="48" t="n"/>
      <c r="N230" s="49" t="n"/>
      <c r="O230" s="54" t="inlineStr">
        <is>
          <t>No</t>
        </is>
      </c>
      <c r="P230" s="48" t="n"/>
      <c r="Q230" s="49" t="n"/>
      <c r="R230" s="54" t="inlineStr">
        <is>
          <t>S</t>
        </is>
      </c>
      <c r="S230" s="49" t="n"/>
      <c r="T230" s="54" t="n"/>
      <c r="U230" s="49" t="n"/>
      <c r="V230" s="54" t="n"/>
      <c r="W230" s="49" t="n"/>
      <c r="X230" s="53" t="inlineStr">
        <is>
          <t>GENERATED ALWAYS AS IDENTITY</t>
        </is>
      </c>
      <c r="Y230" s="49" t="n"/>
    </row>
    <row r="231" ht="30" customHeight="1" s="38">
      <c r="A231" s="52" t="n">
        <v>2</v>
      </c>
      <c r="B231" s="53" t="inlineStr">
        <is>
          <t>id_producto</t>
        </is>
      </c>
      <c r="C231" s="53" t="inlineStr">
        <is>
          <t>Producto comprado</t>
        </is>
      </c>
      <c r="D231" s="48" t="n"/>
      <c r="E231" s="48" t="n"/>
      <c r="F231" s="49" t="n"/>
      <c r="G231" s="54" t="inlineStr">
        <is>
          <t>INTEGER</t>
        </is>
      </c>
      <c r="H231" s="48" t="n"/>
      <c r="I231" s="48" t="n"/>
      <c r="J231" s="49" t="n"/>
      <c r="K231" s="54" t="inlineStr">
        <is>
          <t>4 bytes</t>
        </is>
      </c>
      <c r="L231" s="48" t="n"/>
      <c r="M231" s="48" t="n"/>
      <c r="N231" s="49" t="n"/>
      <c r="O231" s="54" t="inlineStr">
        <is>
          <t>No</t>
        </is>
      </c>
      <c r="P231" s="48" t="n"/>
      <c r="Q231" s="49" t="n"/>
      <c r="R231" s="54" t="n"/>
      <c r="S231" s="49" t="n"/>
      <c r="T231" s="54" t="inlineStr">
        <is>
          <t>S</t>
        </is>
      </c>
      <c r="U231" s="49" t="n"/>
      <c r="V231" s="54" t="n"/>
      <c r="W231" s="49" t="n"/>
      <c r="X231" s="53" t="inlineStr">
        <is>
          <t>Ref. producto(id_producto) ON DELETE RESTRICT ON UPDATE CASCADE</t>
        </is>
      </c>
      <c r="Y231" s="49" t="n"/>
    </row>
    <row r="232" ht="30" customHeight="1" s="38">
      <c r="A232" s="52" t="n">
        <v>3</v>
      </c>
      <c r="B232" s="53" t="inlineStr">
        <is>
          <t>id_usuario_comprador</t>
        </is>
      </c>
      <c r="C232" s="53" t="inlineStr">
        <is>
          <t>Usuario comprador</t>
        </is>
      </c>
      <c r="D232" s="48" t="n"/>
      <c r="E232" s="48" t="n"/>
      <c r="F232" s="49" t="n"/>
      <c r="G232" s="54" t="inlineStr">
        <is>
          <t>INTEGER</t>
        </is>
      </c>
      <c r="H232" s="48" t="n"/>
      <c r="I232" s="48" t="n"/>
      <c r="J232" s="49" t="n"/>
      <c r="K232" s="54" t="inlineStr">
        <is>
          <t>4 bytes</t>
        </is>
      </c>
      <c r="L232" s="48" t="n"/>
      <c r="M232" s="48" t="n"/>
      <c r="N232" s="49" t="n"/>
      <c r="O232" s="54" t="inlineStr">
        <is>
          <t>No</t>
        </is>
      </c>
      <c r="P232" s="48" t="n"/>
      <c r="Q232" s="49" t="n"/>
      <c r="R232" s="54" t="n"/>
      <c r="S232" s="49" t="n"/>
      <c r="T232" s="54" t="inlineStr">
        <is>
          <t>S</t>
        </is>
      </c>
      <c r="U232" s="49" t="n"/>
      <c r="V232" s="54" t="n"/>
      <c r="W232" s="49" t="n"/>
      <c r="X232" s="53" t="inlineStr">
        <is>
          <t>Ref. usuario(id_usuario) ON DELETE RESTRICT ON UPDATE CASCADE</t>
        </is>
      </c>
      <c r="Y232" s="49" t="n"/>
    </row>
    <row r="233" ht="30" customHeight="1" s="38">
      <c r="A233" s="52" t="n">
        <v>4</v>
      </c>
      <c r="B233" s="53" t="inlineStr">
        <is>
          <t>fecha_compra</t>
        </is>
      </c>
      <c r="C233" s="53" t="inlineStr">
        <is>
          <t>Fecha y hora de la compra</t>
        </is>
      </c>
      <c r="D233" s="48" t="n"/>
      <c r="E233" s="48" t="n"/>
      <c r="F233" s="49" t="n"/>
      <c r="G233" s="54" t="inlineStr">
        <is>
          <t>TIMESTAMP</t>
        </is>
      </c>
      <c r="H233" s="48" t="n"/>
      <c r="I233" s="48" t="n"/>
      <c r="J233" s="49" t="n"/>
      <c r="K233" s="54" t="inlineStr">
        <is>
          <t>8 bytes</t>
        </is>
      </c>
      <c r="L233" s="48" t="n"/>
      <c r="M233" s="48" t="n"/>
      <c r="N233" s="49" t="n"/>
      <c r="O233" s="54" t="inlineStr">
        <is>
          <t>No</t>
        </is>
      </c>
      <c r="P233" s="48" t="n"/>
      <c r="Q233" s="49" t="n"/>
      <c r="R233" s="54" t="n"/>
      <c r="S233" s="49" t="n"/>
      <c r="T233" s="54" t="n"/>
      <c r="U233" s="49" t="n"/>
      <c r="V233" s="54" t="n"/>
      <c r="W233" s="49" t="n"/>
      <c r="X233" s="53" t="inlineStr">
        <is>
          <t>DEFAULT CURRENT_TIMESTAMP</t>
        </is>
      </c>
      <c r="Y233" s="49" t="n"/>
    </row>
    <row r="234" ht="30" customHeight="1" s="38">
      <c r="A234" s="52" t="n">
        <v>5</v>
      </c>
      <c r="B234" s="53" t="inlineStr">
        <is>
          <t>cantidad</t>
        </is>
      </c>
      <c r="C234" s="53" t="inlineStr">
        <is>
          <t>Unidades compradas</t>
        </is>
      </c>
      <c r="D234" s="48" t="n"/>
      <c r="E234" s="48" t="n"/>
      <c r="F234" s="49" t="n"/>
      <c r="G234" s="54" t="inlineStr">
        <is>
          <t>INTEGER</t>
        </is>
      </c>
      <c r="H234" s="48" t="n"/>
      <c r="I234" s="48" t="n"/>
      <c r="J234" s="49" t="n"/>
      <c r="K234" s="54" t="inlineStr">
        <is>
          <t>4 bytes</t>
        </is>
      </c>
      <c r="L234" s="48" t="n"/>
      <c r="M234" s="48" t="n"/>
      <c r="N234" s="49" t="n"/>
      <c r="O234" s="54" t="inlineStr">
        <is>
          <t>No</t>
        </is>
      </c>
      <c r="P234" s="48" t="n"/>
      <c r="Q234" s="49" t="n"/>
      <c r="R234" s="54" t="n"/>
      <c r="S234" s="49" t="n"/>
      <c r="T234" s="54" t="n"/>
      <c r="U234" s="49" t="n"/>
      <c r="V234" s="54" t="n"/>
      <c r="W234" s="49" t="n"/>
      <c r="X234" s="53" t="inlineStr">
        <is>
          <t>CHECK (cantidad &gt; 0) | CHECK (valor_total = (cantidad)* precio_unitario)</t>
        </is>
      </c>
      <c r="Y234" s="49" t="n"/>
    </row>
    <row r="235" ht="30" customHeight="1" s="38">
      <c r="A235" s="52" t="n">
        <v>6</v>
      </c>
      <c r="B235" s="53" t="inlineStr">
        <is>
          <t>precio_unitario</t>
        </is>
      </c>
      <c r="C235" s="53" t="inlineStr">
        <is>
          <t>Precio unitario al momento de la compra</t>
        </is>
      </c>
      <c r="D235" s="48" t="n"/>
      <c r="E235" s="48" t="n"/>
      <c r="F235" s="49" t="n"/>
      <c r="G235" s="54" t="inlineStr">
        <is>
          <t>NUMERIC</t>
        </is>
      </c>
      <c r="H235" s="48" t="n"/>
      <c r="I235" s="48" t="n"/>
      <c r="J235" s="49" t="n"/>
      <c r="K235" s="54" t="inlineStr">
        <is>
          <t>12,2</t>
        </is>
      </c>
      <c r="L235" s="48" t="n"/>
      <c r="M235" s="48" t="n"/>
      <c r="N235" s="49" t="n"/>
      <c r="O235" s="54" t="inlineStr">
        <is>
          <t>No</t>
        </is>
      </c>
      <c r="P235" s="48" t="n"/>
      <c r="Q235" s="49" t="n"/>
      <c r="R235" s="54" t="n"/>
      <c r="S235" s="49" t="n"/>
      <c r="T235" s="54" t="n"/>
      <c r="U235" s="49" t="n"/>
      <c r="V235" s="54" t="n"/>
      <c r="W235" s="49" t="n"/>
      <c r="X235" s="53" t="inlineStr">
        <is>
          <t>CHECK (precio_unitario &gt;= (0) | CHECK (valor_total = (cantidad)* precio_unitario)</t>
        </is>
      </c>
      <c r="Y235" s="49" t="n"/>
    </row>
    <row r="236" ht="30" customHeight="1" s="38">
      <c r="A236" s="52" t="n">
        <v>7</v>
      </c>
      <c r="B236" s="53" t="inlineStr">
        <is>
          <t>valor_total</t>
        </is>
      </c>
      <c r="C236" s="53" t="inlineStr">
        <is>
          <t>Total = cantidad x precio_unitario</t>
        </is>
      </c>
      <c r="D236" s="48" t="n"/>
      <c r="E236" s="48" t="n"/>
      <c r="F236" s="49" t="n"/>
      <c r="G236" s="54" t="inlineStr">
        <is>
          <t>NUMERIC</t>
        </is>
      </c>
      <c r="H236" s="48" t="n"/>
      <c r="I236" s="48" t="n"/>
      <c r="J236" s="49" t="n"/>
      <c r="K236" s="54" t="inlineStr">
        <is>
          <t>14,2</t>
        </is>
      </c>
      <c r="L236" s="48" t="n"/>
      <c r="M236" s="48" t="n"/>
      <c r="N236" s="49" t="n"/>
      <c r="O236" s="54" t="inlineStr">
        <is>
          <t>No</t>
        </is>
      </c>
      <c r="P236" s="48" t="n"/>
      <c r="Q236" s="49" t="n"/>
      <c r="R236" s="54" t="n"/>
      <c r="S236" s="49" t="n"/>
      <c r="T236" s="54" t="n"/>
      <c r="U236" s="49" t="n"/>
      <c r="V236" s="54" t="n"/>
      <c r="W236" s="49" t="n"/>
      <c r="X236" s="53" t="inlineStr">
        <is>
          <t>CHECK (valor_total = (cantidad)* precio_unitario)</t>
        </is>
      </c>
      <c r="Y236" s="49" t="n"/>
    </row>
    <row r="237" ht="30" customHeight="1" s="38">
      <c r="A237" s="52" t="n">
        <v>8</v>
      </c>
      <c r="B237" s="53" t="inlineStr">
        <is>
          <t>estado_compra</t>
        </is>
      </c>
      <c r="C237" s="53" t="inlineStr">
        <is>
          <t>Estado: pagada, entregada, cancelada</t>
        </is>
      </c>
      <c r="D237" s="48" t="n"/>
      <c r="E237" s="48" t="n"/>
      <c r="F237" s="49" t="n"/>
      <c r="G237" s="54" t="inlineStr">
        <is>
          <t>VARCHAR</t>
        </is>
      </c>
      <c r="H237" s="48" t="n"/>
      <c r="I237" s="48" t="n"/>
      <c r="J237" s="49" t="n"/>
      <c r="K237" s="54" t="inlineStr">
        <is>
          <t>12</t>
        </is>
      </c>
      <c r="L237" s="48" t="n"/>
      <c r="M237" s="48" t="n"/>
      <c r="N237" s="49" t="n"/>
      <c r="O237" s="54" t="inlineStr">
        <is>
          <t>No</t>
        </is>
      </c>
      <c r="P237" s="48" t="n"/>
      <c r="Q237" s="49" t="n"/>
      <c r="R237" s="54" t="n"/>
      <c r="S237" s="49" t="n"/>
      <c r="T237" s="54" t="n"/>
      <c r="U237" s="49" t="n"/>
      <c r="V237" s="54" t="n"/>
      <c r="W237" s="49" t="n"/>
      <c r="X237" s="53" t="inlineStr">
        <is>
          <t>DEFAULT 'pagada'; CHECK (estado_compra)IN ('pagada', 'entregada', 'cancelada')</t>
        </is>
      </c>
      <c r="Y237" s="49" t="n"/>
    </row>
    <row r="238" ht="15.75" customHeight="1" s="38"/>
    <row r="239" ht="15.75" customHeight="1" s="38"/>
    <row r="240" ht="32" customHeight="1" s="38">
      <c r="A240" s="24" t="n">
        <v>21</v>
      </c>
      <c r="B240" s="30" t="inlineStr">
        <is>
          <t>Tabla</t>
        </is>
      </c>
      <c r="C240" s="29">
        <f>B24</f>
        <v/>
      </c>
      <c r="D240" s="48" t="n"/>
      <c r="E240" s="48" t="n"/>
      <c r="F240" s="49" t="n"/>
      <c r="G240" s="28" t="inlineStr">
        <is>
          <t>Descripción Tabla</t>
        </is>
      </c>
      <c r="H240" s="48" t="n"/>
      <c r="I240" s="48" t="n"/>
      <c r="J240" s="49" t="n"/>
      <c r="K240" s="51">
        <f>F24</f>
        <v/>
      </c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9" t="n"/>
      <c r="X240" s="28" t="inlineStr">
        <is>
          <t>Versión</t>
        </is>
      </c>
      <c r="Y240" s="29" t="inlineStr">
        <is>
          <t>3.0</t>
        </is>
      </c>
    </row>
    <row r="241" ht="41.25" customHeight="1" s="38">
      <c r="A241" s="28" t="inlineStr">
        <is>
          <t>#</t>
        </is>
      </c>
      <c r="B241" s="28" t="inlineStr">
        <is>
          <t>Campo</t>
        </is>
      </c>
      <c r="C241" s="28" t="inlineStr">
        <is>
          <t>Descripción Campo</t>
        </is>
      </c>
      <c r="D241" s="48" t="n"/>
      <c r="E241" s="48" t="n"/>
      <c r="F241" s="49" t="n"/>
      <c r="G241" s="28" t="inlineStr">
        <is>
          <t>Tipo Dato
(PostgreSQL)</t>
        </is>
      </c>
      <c r="H241" s="48" t="n"/>
      <c r="I241" s="48" t="n"/>
      <c r="J241" s="49" t="n"/>
      <c r="K241" s="28" t="inlineStr">
        <is>
          <t>Tamaño / Longitud</t>
        </is>
      </c>
      <c r="L241" s="48" t="n"/>
      <c r="M241" s="48" t="n"/>
      <c r="N241" s="49" t="n"/>
      <c r="O241" s="28" t="inlineStr">
        <is>
          <t>Nulo</t>
        </is>
      </c>
      <c r="P241" s="48" t="n"/>
      <c r="Q241" s="49" t="n"/>
      <c r="R241" s="28" t="inlineStr">
        <is>
          <t>PK</t>
        </is>
      </c>
      <c r="S241" s="49" t="n"/>
      <c r="T241" s="28" t="inlineStr">
        <is>
          <t>FK</t>
        </is>
      </c>
      <c r="U241" s="49" t="n"/>
      <c r="V241" s="28" t="inlineStr">
        <is>
          <t>UK</t>
        </is>
      </c>
      <c r="W241" s="49" t="n"/>
      <c r="X241" s="28" t="inlineStr">
        <is>
          <t>Nota/Comentarios</t>
        </is>
      </c>
      <c r="Y241" s="49" t="n"/>
    </row>
    <row r="242" ht="30" customHeight="1" s="38">
      <c r="A242" s="52" t="n">
        <v>1</v>
      </c>
      <c r="B242" s="53" t="inlineStr">
        <is>
          <t>id_tipo_evento</t>
        </is>
      </c>
      <c r="C242" s="53" t="inlineStr">
        <is>
          <t>Identificador del tipo de evento</t>
        </is>
      </c>
      <c r="D242" s="48" t="n"/>
      <c r="E242" s="48" t="n"/>
      <c r="F242" s="49" t="n"/>
      <c r="G242" s="54" t="inlineStr">
        <is>
          <t>SMALLINT</t>
        </is>
      </c>
      <c r="H242" s="48" t="n"/>
      <c r="I242" s="48" t="n"/>
      <c r="J242" s="49" t="n"/>
      <c r="K242" s="54" t="inlineStr">
        <is>
          <t>2 bytes</t>
        </is>
      </c>
      <c r="L242" s="48" t="n"/>
      <c r="M242" s="48" t="n"/>
      <c r="N242" s="49" t="n"/>
      <c r="O242" s="54" t="inlineStr">
        <is>
          <t>No</t>
        </is>
      </c>
      <c r="P242" s="48" t="n"/>
      <c r="Q242" s="49" t="n"/>
      <c r="R242" s="54" t="inlineStr">
        <is>
          <t>S</t>
        </is>
      </c>
      <c r="S242" s="49" t="n"/>
      <c r="T242" s="54" t="n"/>
      <c r="U242" s="49" t="n"/>
      <c r="V242" s="54" t="n"/>
      <c r="W242" s="49" t="n"/>
      <c r="X242" s="53" t="inlineStr">
        <is>
          <t>GENERATED ALWAYS AS IDENTITY</t>
        </is>
      </c>
      <c r="Y242" s="49" t="n"/>
    </row>
    <row r="243" ht="30" customHeight="1" s="38">
      <c r="A243" s="52" t="n">
        <v>2</v>
      </c>
      <c r="B243" s="53" t="inlineStr">
        <is>
          <t>id_usuario_registra</t>
        </is>
      </c>
      <c r="C243" s="53" t="inlineStr">
        <is>
          <t>Administrador que lo registró</t>
        </is>
      </c>
      <c r="D243" s="48" t="n"/>
      <c r="E243" s="48" t="n"/>
      <c r="F243" s="49" t="n"/>
      <c r="G243" s="54" t="inlineStr">
        <is>
          <t>INTEGER</t>
        </is>
      </c>
      <c r="H243" s="48" t="n"/>
      <c r="I243" s="48" t="n"/>
      <c r="J243" s="49" t="n"/>
      <c r="K243" s="54" t="inlineStr">
        <is>
          <t>4 bytes</t>
        </is>
      </c>
      <c r="L243" s="48" t="n"/>
      <c r="M243" s="48" t="n"/>
      <c r="N243" s="49" t="n"/>
      <c r="O243" s="54" t="inlineStr">
        <is>
          <t>No</t>
        </is>
      </c>
      <c r="P243" s="48" t="n"/>
      <c r="Q243" s="49" t="n"/>
      <c r="R243" s="54" t="n"/>
      <c r="S243" s="49" t="n"/>
      <c r="T243" s="54" t="inlineStr">
        <is>
          <t>S</t>
        </is>
      </c>
      <c r="U243" s="49" t="n"/>
      <c r="V243" s="54" t="n"/>
      <c r="W243" s="49" t="n"/>
      <c r="X243" s="53" t="inlineStr">
        <is>
          <t>Ref. usuario(id_usuario) ON DELETE RESTRICT ON UPDATE CASCADE</t>
        </is>
      </c>
      <c r="Y243" s="49" t="n"/>
    </row>
    <row r="244" ht="30" customHeight="1" s="38">
      <c r="A244" s="52" t="n">
        <v>3</v>
      </c>
      <c r="B244" s="53" t="inlineStr">
        <is>
          <t>nombre_tipo_evento</t>
        </is>
      </c>
      <c r="C244" s="53" t="inlineStr">
        <is>
          <t>Nombre de la categoría</t>
        </is>
      </c>
      <c r="D244" s="48" t="n"/>
      <c r="E244" s="48" t="n"/>
      <c r="F244" s="49" t="n"/>
      <c r="G244" s="54" t="inlineStr">
        <is>
          <t>VARCHAR</t>
        </is>
      </c>
      <c r="H244" s="48" t="n"/>
      <c r="I244" s="48" t="n"/>
      <c r="J244" s="49" t="n"/>
      <c r="K244" s="54" t="inlineStr">
        <is>
          <t>60</t>
        </is>
      </c>
      <c r="L244" s="48" t="n"/>
      <c r="M244" s="48" t="n"/>
      <c r="N244" s="49" t="n"/>
      <c r="O244" s="54" t="inlineStr">
        <is>
          <t>No</t>
        </is>
      </c>
      <c r="P244" s="48" t="n"/>
      <c r="Q244" s="49" t="n"/>
      <c r="R244" s="54" t="n"/>
      <c r="S244" s="49" t="n"/>
      <c r="T244" s="54" t="n"/>
      <c r="U244" s="49" t="n"/>
      <c r="V244" s="54" t="inlineStr">
        <is>
          <t>S</t>
        </is>
      </c>
      <c r="W244" s="49" t="n"/>
      <c r="X244" s="53" t="n"/>
      <c r="Y244" s="49" t="n"/>
    </row>
    <row r="245" ht="30" customHeight="1" s="38">
      <c r="A245" s="52" t="n">
        <v>4</v>
      </c>
      <c r="B245" s="53" t="inlineStr">
        <is>
          <t>descripcion_tipo_evento</t>
        </is>
      </c>
      <c r="C245" s="53" t="inlineStr">
        <is>
          <t>Aclaración del alcance</t>
        </is>
      </c>
      <c r="D245" s="48" t="n"/>
      <c r="E245" s="48" t="n"/>
      <c r="F245" s="49" t="n"/>
      <c r="G245" s="54" t="inlineStr">
        <is>
          <t>VARCHAR</t>
        </is>
      </c>
      <c r="H245" s="48" t="n"/>
      <c r="I245" s="48" t="n"/>
      <c r="J245" s="49" t="n"/>
      <c r="K245" s="54" t="inlineStr">
        <is>
          <t>255</t>
        </is>
      </c>
      <c r="L245" s="48" t="n"/>
      <c r="M245" s="48" t="n"/>
      <c r="N245" s="49" t="n"/>
      <c r="O245" s="54" t="inlineStr">
        <is>
          <t>Sí</t>
        </is>
      </c>
      <c r="P245" s="48" t="n"/>
      <c r="Q245" s="49" t="n"/>
      <c r="R245" s="54" t="n"/>
      <c r="S245" s="49" t="n"/>
      <c r="T245" s="54" t="n"/>
      <c r="U245" s="49" t="n"/>
      <c r="V245" s="54" t="n"/>
      <c r="W245" s="49" t="n"/>
      <c r="X245" s="53" t="n"/>
      <c r="Y245" s="49" t="n"/>
    </row>
    <row r="246" ht="30" customHeight="1" s="38">
      <c r="A246" s="52" t="n">
        <v>5</v>
      </c>
      <c r="B246" s="53" t="inlineStr">
        <is>
          <t>estado_tipo_evento</t>
        </is>
      </c>
      <c r="C246" s="53" t="inlineStr">
        <is>
          <t>TRUE si está vigente</t>
        </is>
      </c>
      <c r="D246" s="48" t="n"/>
      <c r="E246" s="48" t="n"/>
      <c r="F246" s="49" t="n"/>
      <c r="G246" s="54" t="inlineStr">
        <is>
          <t>BOOLEAN</t>
        </is>
      </c>
      <c r="H246" s="48" t="n"/>
      <c r="I246" s="48" t="n"/>
      <c r="J246" s="49" t="n"/>
      <c r="K246" s="54" t="inlineStr">
        <is>
          <t>1 byte</t>
        </is>
      </c>
      <c r="L246" s="48" t="n"/>
      <c r="M246" s="48" t="n"/>
      <c r="N246" s="49" t="n"/>
      <c r="O246" s="54" t="inlineStr">
        <is>
          <t>No</t>
        </is>
      </c>
      <c r="P246" s="48" t="n"/>
      <c r="Q246" s="49" t="n"/>
      <c r="R246" s="54" t="n"/>
      <c r="S246" s="49" t="n"/>
      <c r="T246" s="54" t="n"/>
      <c r="U246" s="49" t="n"/>
      <c r="V246" s="54" t="n"/>
      <c r="W246" s="49" t="n"/>
      <c r="X246" s="53" t="inlineStr">
        <is>
          <t>DEFAULT true</t>
        </is>
      </c>
      <c r="Y246" s="49" t="n"/>
    </row>
    <row r="247" ht="15.75" customHeight="1" s="38"/>
    <row r="248" ht="15.75" customHeight="1" s="38"/>
    <row r="249" ht="32" customHeight="1" s="38">
      <c r="A249" s="24" t="n">
        <v>22</v>
      </c>
      <c r="B249" s="30" t="inlineStr">
        <is>
          <t>Tabla</t>
        </is>
      </c>
      <c r="C249" s="29">
        <f>B25</f>
        <v/>
      </c>
      <c r="D249" s="48" t="n"/>
      <c r="E249" s="48" t="n"/>
      <c r="F249" s="49" t="n"/>
      <c r="G249" s="28" t="inlineStr">
        <is>
          <t>Descripción Tabla</t>
        </is>
      </c>
      <c r="H249" s="48" t="n"/>
      <c r="I249" s="48" t="n"/>
      <c r="J249" s="49" t="n"/>
      <c r="K249" s="51">
        <f>F25</f>
        <v/>
      </c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9" t="n"/>
      <c r="X249" s="28" t="inlineStr">
        <is>
          <t>Versión</t>
        </is>
      </c>
      <c r="Y249" s="29" t="inlineStr">
        <is>
          <t>3.0</t>
        </is>
      </c>
    </row>
    <row r="250" ht="41.25" customHeight="1" s="38">
      <c r="A250" s="28" t="inlineStr">
        <is>
          <t>#</t>
        </is>
      </c>
      <c r="B250" s="28" t="inlineStr">
        <is>
          <t>Campo</t>
        </is>
      </c>
      <c r="C250" s="28" t="inlineStr">
        <is>
          <t>Descripción Campo</t>
        </is>
      </c>
      <c r="D250" s="48" t="n"/>
      <c r="E250" s="48" t="n"/>
      <c r="F250" s="49" t="n"/>
      <c r="G250" s="28" t="inlineStr">
        <is>
          <t>Tipo Dato
(PostgreSQL)</t>
        </is>
      </c>
      <c r="H250" s="48" t="n"/>
      <c r="I250" s="48" t="n"/>
      <c r="J250" s="49" t="n"/>
      <c r="K250" s="28" t="inlineStr">
        <is>
          <t>Tamaño / Longitud</t>
        </is>
      </c>
      <c r="L250" s="48" t="n"/>
      <c r="M250" s="48" t="n"/>
      <c r="N250" s="49" t="n"/>
      <c r="O250" s="28" t="inlineStr">
        <is>
          <t>Nulo</t>
        </is>
      </c>
      <c r="P250" s="48" t="n"/>
      <c r="Q250" s="49" t="n"/>
      <c r="R250" s="28" t="inlineStr">
        <is>
          <t>PK</t>
        </is>
      </c>
      <c r="S250" s="49" t="n"/>
      <c r="T250" s="28" t="inlineStr">
        <is>
          <t>FK</t>
        </is>
      </c>
      <c r="U250" s="49" t="n"/>
      <c r="V250" s="28" t="inlineStr">
        <is>
          <t>UK</t>
        </is>
      </c>
      <c r="W250" s="49" t="n"/>
      <c r="X250" s="28" t="inlineStr">
        <is>
          <t>Nota/Comentarios</t>
        </is>
      </c>
      <c r="Y250" s="49" t="n"/>
    </row>
    <row r="251" ht="30" customHeight="1" s="38">
      <c r="A251" s="52" t="n">
        <v>1</v>
      </c>
      <c r="B251" s="53" t="inlineStr">
        <is>
          <t>id_evento</t>
        </is>
      </c>
      <c r="C251" s="53" t="inlineStr">
        <is>
          <t>Identificador del evento</t>
        </is>
      </c>
      <c r="D251" s="48" t="n"/>
      <c r="E251" s="48" t="n"/>
      <c r="F251" s="49" t="n"/>
      <c r="G251" s="54" t="inlineStr">
        <is>
          <t>INTEGER</t>
        </is>
      </c>
      <c r="H251" s="48" t="n"/>
      <c r="I251" s="48" t="n"/>
      <c r="J251" s="49" t="n"/>
      <c r="K251" s="54" t="inlineStr">
        <is>
          <t>4 bytes</t>
        </is>
      </c>
      <c r="L251" s="48" t="n"/>
      <c r="M251" s="48" t="n"/>
      <c r="N251" s="49" t="n"/>
      <c r="O251" s="54" t="inlineStr">
        <is>
          <t>No</t>
        </is>
      </c>
      <c r="P251" s="48" t="n"/>
      <c r="Q251" s="49" t="n"/>
      <c r="R251" s="54" t="inlineStr">
        <is>
          <t>S</t>
        </is>
      </c>
      <c r="S251" s="49" t="n"/>
      <c r="T251" s="54" t="n"/>
      <c r="U251" s="49" t="n"/>
      <c r="V251" s="54" t="n"/>
      <c r="W251" s="49" t="n"/>
      <c r="X251" s="53" t="inlineStr">
        <is>
          <t>GENERATED ALWAYS AS IDENTITY</t>
        </is>
      </c>
      <c r="Y251" s="49" t="n"/>
    </row>
    <row r="252" ht="30" customHeight="1" s="38">
      <c r="A252" s="52" t="n">
        <v>2</v>
      </c>
      <c r="B252" s="53" t="inlineStr">
        <is>
          <t>id_usuario_organizador</t>
        </is>
      </c>
      <c r="C252" s="53" t="inlineStr">
        <is>
          <t>Usuario que organiza</t>
        </is>
      </c>
      <c r="D252" s="48" t="n"/>
      <c r="E252" s="48" t="n"/>
      <c r="F252" s="49" t="n"/>
      <c r="G252" s="54" t="inlineStr">
        <is>
          <t>INTEGER</t>
        </is>
      </c>
      <c r="H252" s="48" t="n"/>
      <c r="I252" s="48" t="n"/>
      <c r="J252" s="49" t="n"/>
      <c r="K252" s="54" t="inlineStr">
        <is>
          <t>4 bytes</t>
        </is>
      </c>
      <c r="L252" s="48" t="n"/>
      <c r="M252" s="48" t="n"/>
      <c r="N252" s="49" t="n"/>
      <c r="O252" s="54" t="inlineStr">
        <is>
          <t>No</t>
        </is>
      </c>
      <c r="P252" s="48" t="n"/>
      <c r="Q252" s="49" t="n"/>
      <c r="R252" s="54" t="n"/>
      <c r="S252" s="49" t="n"/>
      <c r="T252" s="54" t="inlineStr">
        <is>
          <t>S</t>
        </is>
      </c>
      <c r="U252" s="49" t="n"/>
      <c r="V252" s="54" t="n"/>
      <c r="W252" s="49" t="n"/>
      <c r="X252" s="53" t="inlineStr">
        <is>
          <t>Ref. usuario(id_usuario) ON DELETE RESTRICT ON UPDATE CASCADE</t>
        </is>
      </c>
      <c r="Y252" s="49" t="n"/>
    </row>
    <row r="253" ht="30" customHeight="1" s="38">
      <c r="A253" s="52" t="n">
        <v>3</v>
      </c>
      <c r="B253" s="53" t="inlineStr">
        <is>
          <t>id_tipo_evento</t>
        </is>
      </c>
      <c r="C253" s="53" t="inlineStr">
        <is>
          <t>Categoría del evento</t>
        </is>
      </c>
      <c r="D253" s="48" t="n"/>
      <c r="E253" s="48" t="n"/>
      <c r="F253" s="49" t="n"/>
      <c r="G253" s="54" t="inlineStr">
        <is>
          <t>SMALLINT</t>
        </is>
      </c>
      <c r="H253" s="48" t="n"/>
      <c r="I253" s="48" t="n"/>
      <c r="J253" s="49" t="n"/>
      <c r="K253" s="54" t="inlineStr">
        <is>
          <t>2 bytes</t>
        </is>
      </c>
      <c r="L253" s="48" t="n"/>
      <c r="M253" s="48" t="n"/>
      <c r="N253" s="49" t="n"/>
      <c r="O253" s="54" t="inlineStr">
        <is>
          <t>No</t>
        </is>
      </c>
      <c r="P253" s="48" t="n"/>
      <c r="Q253" s="49" t="n"/>
      <c r="R253" s="54" t="n"/>
      <c r="S253" s="49" t="n"/>
      <c r="T253" s="54" t="inlineStr">
        <is>
          <t>S</t>
        </is>
      </c>
      <c r="U253" s="49" t="n"/>
      <c r="V253" s="54" t="n"/>
      <c r="W253" s="49" t="n"/>
      <c r="X253" s="53" t="inlineStr">
        <is>
          <t>Ref. tipo_evento(id_tipo_evento) ON DELETE RESTRICT ON UPDATE CASCADE</t>
        </is>
      </c>
      <c r="Y253" s="49" t="n"/>
    </row>
    <row r="254" ht="30" customHeight="1" s="38">
      <c r="A254" s="52" t="n">
        <v>4</v>
      </c>
      <c r="B254" s="53" t="inlineStr">
        <is>
          <t>nombre_evento</t>
        </is>
      </c>
      <c r="C254" s="53" t="inlineStr">
        <is>
          <t>Nombre del evento</t>
        </is>
      </c>
      <c r="D254" s="48" t="n"/>
      <c r="E254" s="48" t="n"/>
      <c r="F254" s="49" t="n"/>
      <c r="G254" s="54" t="inlineStr">
        <is>
          <t>VARCHAR</t>
        </is>
      </c>
      <c r="H254" s="48" t="n"/>
      <c r="I254" s="48" t="n"/>
      <c r="J254" s="49" t="n"/>
      <c r="K254" s="54" t="inlineStr">
        <is>
          <t>120</t>
        </is>
      </c>
      <c r="L254" s="48" t="n"/>
      <c r="M254" s="48" t="n"/>
      <c r="N254" s="49" t="n"/>
      <c r="O254" s="54" t="inlineStr">
        <is>
          <t>No</t>
        </is>
      </c>
      <c r="P254" s="48" t="n"/>
      <c r="Q254" s="49" t="n"/>
      <c r="R254" s="54" t="n"/>
      <c r="S254" s="49" t="n"/>
      <c r="T254" s="54" t="n"/>
      <c r="U254" s="49" t="n"/>
      <c r="V254" s="54" t="n"/>
      <c r="W254" s="49" t="n"/>
      <c r="X254" s="53" t="n"/>
      <c r="Y254" s="49" t="n"/>
    </row>
    <row r="255" ht="30" customHeight="1" s="38">
      <c r="A255" s="52" t="n">
        <v>5</v>
      </c>
      <c r="B255" s="53" t="inlineStr">
        <is>
          <t>descripcion_evento</t>
        </is>
      </c>
      <c r="C255" s="53" t="inlineStr">
        <is>
          <t>Detalle y agenda</t>
        </is>
      </c>
      <c r="D255" s="48" t="n"/>
      <c r="E255" s="48" t="n"/>
      <c r="F255" s="49" t="n"/>
      <c r="G255" s="54" t="inlineStr">
        <is>
          <t>VARCHAR</t>
        </is>
      </c>
      <c r="H255" s="48" t="n"/>
      <c r="I255" s="48" t="n"/>
      <c r="J255" s="49" t="n"/>
      <c r="K255" s="54" t="inlineStr">
        <is>
          <t>1000</t>
        </is>
      </c>
      <c r="L255" s="48" t="n"/>
      <c r="M255" s="48" t="n"/>
      <c r="N255" s="49" t="n"/>
      <c r="O255" s="54" t="inlineStr">
        <is>
          <t>Sí</t>
        </is>
      </c>
      <c r="P255" s="48" t="n"/>
      <c r="Q255" s="49" t="n"/>
      <c r="R255" s="54" t="n"/>
      <c r="S255" s="49" t="n"/>
      <c r="T255" s="54" t="n"/>
      <c r="U255" s="49" t="n"/>
      <c r="V255" s="54" t="n"/>
      <c r="W255" s="49" t="n"/>
      <c r="X255" s="53" t="n"/>
      <c r="Y255" s="49" t="n"/>
    </row>
    <row r="256" ht="30" customHeight="1" s="38">
      <c r="A256" s="52" t="n">
        <v>6</v>
      </c>
      <c r="B256" s="53" t="inlineStr">
        <is>
          <t>fecha_inicio</t>
        </is>
      </c>
      <c r="C256" s="53" t="inlineStr">
        <is>
          <t>Fecha y hora de inicio</t>
        </is>
      </c>
      <c r="D256" s="48" t="n"/>
      <c r="E256" s="48" t="n"/>
      <c r="F256" s="49" t="n"/>
      <c r="G256" s="54" t="inlineStr">
        <is>
          <t>TIMESTAMP</t>
        </is>
      </c>
      <c r="H256" s="48" t="n"/>
      <c r="I256" s="48" t="n"/>
      <c r="J256" s="49" t="n"/>
      <c r="K256" s="54" t="inlineStr">
        <is>
          <t>8 bytes</t>
        </is>
      </c>
      <c r="L256" s="48" t="n"/>
      <c r="M256" s="48" t="n"/>
      <c r="N256" s="49" t="n"/>
      <c r="O256" s="54" t="inlineStr">
        <is>
          <t>No</t>
        </is>
      </c>
      <c r="P256" s="48" t="n"/>
      <c r="Q256" s="49" t="n"/>
      <c r="R256" s="54" t="n"/>
      <c r="S256" s="49" t="n"/>
      <c r="T256" s="54" t="n"/>
      <c r="U256" s="49" t="n"/>
      <c r="V256" s="54" t="n"/>
      <c r="W256" s="49" t="n"/>
      <c r="X256" s="53" t="inlineStr">
        <is>
          <t>CHECK (fecha_fin &gt;= fecha_inicio)</t>
        </is>
      </c>
      <c r="Y256" s="49" t="n"/>
    </row>
    <row r="257" ht="30" customHeight="1" s="38">
      <c r="A257" s="52" t="n">
        <v>7</v>
      </c>
      <c r="B257" s="53" t="inlineStr">
        <is>
          <t>fecha_fin</t>
        </is>
      </c>
      <c r="C257" s="53" t="inlineStr">
        <is>
          <t>Fecha y hora de finalización</t>
        </is>
      </c>
      <c r="D257" s="48" t="n"/>
      <c r="E257" s="48" t="n"/>
      <c r="F257" s="49" t="n"/>
      <c r="G257" s="54" t="inlineStr">
        <is>
          <t>TIMESTAMP</t>
        </is>
      </c>
      <c r="H257" s="48" t="n"/>
      <c r="I257" s="48" t="n"/>
      <c r="J257" s="49" t="n"/>
      <c r="K257" s="54" t="inlineStr">
        <is>
          <t>8 bytes</t>
        </is>
      </c>
      <c r="L257" s="48" t="n"/>
      <c r="M257" s="48" t="n"/>
      <c r="N257" s="49" t="n"/>
      <c r="O257" s="54" t="inlineStr">
        <is>
          <t>No</t>
        </is>
      </c>
      <c r="P257" s="48" t="n"/>
      <c r="Q257" s="49" t="n"/>
      <c r="R257" s="54" t="n"/>
      <c r="S257" s="49" t="n"/>
      <c r="T257" s="54" t="n"/>
      <c r="U257" s="49" t="n"/>
      <c r="V257" s="54" t="n"/>
      <c r="W257" s="49" t="n"/>
      <c r="X257" s="53" t="inlineStr">
        <is>
          <t>CHECK (fecha_fin &gt;= fecha_inicio)</t>
        </is>
      </c>
      <c r="Y257" s="49" t="n"/>
    </row>
    <row r="258" ht="30" customHeight="1" s="38">
      <c r="A258" s="52" t="n">
        <v>8</v>
      </c>
      <c r="B258" s="53" t="inlineStr">
        <is>
          <t>lugar_evento</t>
        </is>
      </c>
      <c r="C258" s="53" t="inlineStr">
        <is>
          <t>Lugar físico o enlace virtual</t>
        </is>
      </c>
      <c r="D258" s="48" t="n"/>
      <c r="E258" s="48" t="n"/>
      <c r="F258" s="49" t="n"/>
      <c r="G258" s="54" t="inlineStr">
        <is>
          <t>VARCHAR</t>
        </is>
      </c>
      <c r="H258" s="48" t="n"/>
      <c r="I258" s="48" t="n"/>
      <c r="J258" s="49" t="n"/>
      <c r="K258" s="54" t="inlineStr">
        <is>
          <t>150</t>
        </is>
      </c>
      <c r="L258" s="48" t="n"/>
      <c r="M258" s="48" t="n"/>
      <c r="N258" s="49" t="n"/>
      <c r="O258" s="54" t="inlineStr">
        <is>
          <t>No</t>
        </is>
      </c>
      <c r="P258" s="48" t="n"/>
      <c r="Q258" s="49" t="n"/>
      <c r="R258" s="54" t="n"/>
      <c r="S258" s="49" t="n"/>
      <c r="T258" s="54" t="n"/>
      <c r="U258" s="49" t="n"/>
      <c r="V258" s="54" t="n"/>
      <c r="W258" s="49" t="n"/>
      <c r="X258" s="53" t="n"/>
      <c r="Y258" s="49" t="n"/>
    </row>
    <row r="259" ht="30" customHeight="1" s="38">
      <c r="A259" s="52" t="n">
        <v>9</v>
      </c>
      <c r="B259" s="53" t="inlineStr">
        <is>
          <t>cupo_maximo</t>
        </is>
      </c>
      <c r="C259" s="53" t="inlineStr">
        <is>
          <t>Número máximo de participantes</t>
        </is>
      </c>
      <c r="D259" s="48" t="n"/>
      <c r="E259" s="48" t="n"/>
      <c r="F259" s="49" t="n"/>
      <c r="G259" s="54" t="inlineStr">
        <is>
          <t>INTEGER</t>
        </is>
      </c>
      <c r="H259" s="48" t="n"/>
      <c r="I259" s="48" t="n"/>
      <c r="J259" s="49" t="n"/>
      <c r="K259" s="54" t="inlineStr">
        <is>
          <t>4 bytes</t>
        </is>
      </c>
      <c r="L259" s="48" t="n"/>
      <c r="M259" s="48" t="n"/>
      <c r="N259" s="49" t="n"/>
      <c r="O259" s="54" t="inlineStr">
        <is>
          <t>Sí</t>
        </is>
      </c>
      <c r="P259" s="48" t="n"/>
      <c r="Q259" s="49" t="n"/>
      <c r="R259" s="54" t="n"/>
      <c r="S259" s="49" t="n"/>
      <c r="T259" s="54" t="n"/>
      <c r="U259" s="49" t="n"/>
      <c r="V259" s="54" t="n"/>
      <c r="W259" s="49" t="n"/>
      <c r="X259" s="53" t="inlineStr">
        <is>
          <t>CHECK (cupo_maximo IS NULL) OR (cupo_maximo &gt; 0)</t>
        </is>
      </c>
      <c r="Y259" s="49" t="n"/>
    </row>
    <row r="260" ht="30" customHeight="1" s="38">
      <c r="A260" s="52" t="n">
        <v>10</v>
      </c>
      <c r="B260" s="53" t="inlineStr">
        <is>
          <t>valor_entrada</t>
        </is>
      </c>
      <c r="C260" s="53" t="inlineStr">
        <is>
          <t>Valor de la entrada (0 = gratuito)</t>
        </is>
      </c>
      <c r="D260" s="48" t="n"/>
      <c r="E260" s="48" t="n"/>
      <c r="F260" s="49" t="n"/>
      <c r="G260" s="54" t="inlineStr">
        <is>
          <t>NUMERIC</t>
        </is>
      </c>
      <c r="H260" s="48" t="n"/>
      <c r="I260" s="48" t="n"/>
      <c r="J260" s="49" t="n"/>
      <c r="K260" s="54" t="inlineStr">
        <is>
          <t>12,2</t>
        </is>
      </c>
      <c r="L260" s="48" t="n"/>
      <c r="M260" s="48" t="n"/>
      <c r="N260" s="49" t="n"/>
      <c r="O260" s="54" t="inlineStr">
        <is>
          <t>No</t>
        </is>
      </c>
      <c r="P260" s="48" t="n"/>
      <c r="Q260" s="49" t="n"/>
      <c r="R260" s="54" t="n"/>
      <c r="S260" s="49" t="n"/>
      <c r="T260" s="54" t="n"/>
      <c r="U260" s="49" t="n"/>
      <c r="V260" s="54" t="n"/>
      <c r="W260" s="49" t="n"/>
      <c r="X260" s="53" t="inlineStr">
        <is>
          <t>DEFAULT 0; CHECK (valor_entrada &gt;= (0)</t>
        </is>
      </c>
      <c r="Y260" s="49" t="n"/>
    </row>
    <row r="261" ht="45" customHeight="1" s="38">
      <c r="A261" s="52" t="n">
        <v>11</v>
      </c>
      <c r="B261" s="53" t="inlineStr">
        <is>
          <t>estado_evento</t>
        </is>
      </c>
      <c r="C261" s="53" t="inlineStr">
        <is>
          <t>Estado: programado, en_curso, finalizado, cancelado</t>
        </is>
      </c>
      <c r="D261" s="48" t="n"/>
      <c r="E261" s="48" t="n"/>
      <c r="F261" s="49" t="n"/>
      <c r="G261" s="54" t="inlineStr">
        <is>
          <t>VARCHAR</t>
        </is>
      </c>
      <c r="H261" s="48" t="n"/>
      <c r="I261" s="48" t="n"/>
      <c r="J261" s="49" t="n"/>
      <c r="K261" s="54" t="inlineStr">
        <is>
          <t>12</t>
        </is>
      </c>
      <c r="L261" s="48" t="n"/>
      <c r="M261" s="48" t="n"/>
      <c r="N261" s="49" t="n"/>
      <c r="O261" s="54" t="inlineStr">
        <is>
          <t>No</t>
        </is>
      </c>
      <c r="P261" s="48" t="n"/>
      <c r="Q261" s="49" t="n"/>
      <c r="R261" s="54" t="n"/>
      <c r="S261" s="49" t="n"/>
      <c r="T261" s="54" t="n"/>
      <c r="U261" s="49" t="n"/>
      <c r="V261" s="54" t="n"/>
      <c r="W261" s="49" t="n"/>
      <c r="X261" s="53" t="inlineStr">
        <is>
          <t>DEFAULT 'programado'; CHECK (estado_evento)IN ('programado', 'en_curso', 'finalizado', 'cancelado')</t>
        </is>
      </c>
      <c r="Y261" s="49" t="n"/>
    </row>
    <row r="262" ht="15.75" customHeight="1" s="38"/>
    <row r="263" ht="15.75" customHeight="1" s="38"/>
    <row r="264" ht="32" customHeight="1" s="38">
      <c r="A264" s="24" t="n">
        <v>23</v>
      </c>
      <c r="B264" s="30" t="inlineStr">
        <is>
          <t>Tabla</t>
        </is>
      </c>
      <c r="C264" s="29">
        <f>B26</f>
        <v/>
      </c>
      <c r="D264" s="48" t="n"/>
      <c r="E264" s="48" t="n"/>
      <c r="F264" s="49" t="n"/>
      <c r="G264" s="28" t="inlineStr">
        <is>
          <t>Descripción Tabla</t>
        </is>
      </c>
      <c r="H264" s="48" t="n"/>
      <c r="I264" s="48" t="n"/>
      <c r="J264" s="49" t="n"/>
      <c r="K264" s="51">
        <f>F26</f>
        <v/>
      </c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9" t="n"/>
      <c r="X264" s="28" t="inlineStr">
        <is>
          <t>Versión</t>
        </is>
      </c>
      <c r="Y264" s="29" t="inlineStr">
        <is>
          <t>3.0</t>
        </is>
      </c>
    </row>
    <row r="265" ht="41.25" customHeight="1" s="38">
      <c r="A265" s="28" t="inlineStr">
        <is>
          <t>#</t>
        </is>
      </c>
      <c r="B265" s="28" t="inlineStr">
        <is>
          <t>Campo</t>
        </is>
      </c>
      <c r="C265" s="28" t="inlineStr">
        <is>
          <t>Descripción Campo</t>
        </is>
      </c>
      <c r="D265" s="48" t="n"/>
      <c r="E265" s="48" t="n"/>
      <c r="F265" s="49" t="n"/>
      <c r="G265" s="28" t="inlineStr">
        <is>
          <t>Tipo Dato
(PostgreSQL)</t>
        </is>
      </c>
      <c r="H265" s="48" t="n"/>
      <c r="I265" s="48" t="n"/>
      <c r="J265" s="49" t="n"/>
      <c r="K265" s="28" t="inlineStr">
        <is>
          <t>Tamaño / Longitud</t>
        </is>
      </c>
      <c r="L265" s="48" t="n"/>
      <c r="M265" s="48" t="n"/>
      <c r="N265" s="49" t="n"/>
      <c r="O265" s="28" t="inlineStr">
        <is>
          <t>Nulo</t>
        </is>
      </c>
      <c r="P265" s="48" t="n"/>
      <c r="Q265" s="49" t="n"/>
      <c r="R265" s="28" t="inlineStr">
        <is>
          <t>PK</t>
        </is>
      </c>
      <c r="S265" s="49" t="n"/>
      <c r="T265" s="28" t="inlineStr">
        <is>
          <t>FK</t>
        </is>
      </c>
      <c r="U265" s="49" t="n"/>
      <c r="V265" s="28" t="inlineStr">
        <is>
          <t>UK</t>
        </is>
      </c>
      <c r="W265" s="49" t="n"/>
      <c r="X265" s="28" t="inlineStr">
        <is>
          <t>Nota/Comentarios</t>
        </is>
      </c>
      <c r="Y265" s="49" t="n"/>
    </row>
    <row r="266" ht="30" customHeight="1" s="38">
      <c r="A266" s="52" t="n">
        <v>1</v>
      </c>
      <c r="B266" s="53" t="inlineStr">
        <is>
          <t>id_evento</t>
        </is>
      </c>
      <c r="C266" s="53" t="inlineStr">
        <is>
          <t>Evento (parte de la PK)</t>
        </is>
      </c>
      <c r="D266" s="48" t="n"/>
      <c r="E266" s="48" t="n"/>
      <c r="F266" s="49" t="n"/>
      <c r="G266" s="54" t="inlineStr">
        <is>
          <t>INTEGER</t>
        </is>
      </c>
      <c r="H266" s="48" t="n"/>
      <c r="I266" s="48" t="n"/>
      <c r="J266" s="49" t="n"/>
      <c r="K266" s="54" t="inlineStr">
        <is>
          <t>4 bytes</t>
        </is>
      </c>
      <c r="L266" s="48" t="n"/>
      <c r="M266" s="48" t="n"/>
      <c r="N266" s="49" t="n"/>
      <c r="O266" s="54" t="inlineStr">
        <is>
          <t>No</t>
        </is>
      </c>
      <c r="P266" s="48" t="n"/>
      <c r="Q266" s="49" t="n"/>
      <c r="R266" s="54" t="inlineStr">
        <is>
          <t>S</t>
        </is>
      </c>
      <c r="S266" s="49" t="n"/>
      <c r="T266" s="54" t="inlineStr">
        <is>
          <t>S</t>
        </is>
      </c>
      <c r="U266" s="49" t="n"/>
      <c r="V266" s="54" t="n"/>
      <c r="W266" s="49" t="n"/>
      <c r="X266" s="53" t="inlineStr">
        <is>
          <t>Ref. evento(id_evento) ON DELETE CASCADE ON UPDATE CASCADE</t>
        </is>
      </c>
      <c r="Y266" s="49" t="n"/>
    </row>
    <row r="267" ht="30" customHeight="1" s="38">
      <c r="A267" s="52" t="n">
        <v>2</v>
      </c>
      <c r="B267" s="53" t="inlineStr">
        <is>
          <t>id_usuario</t>
        </is>
      </c>
      <c r="C267" s="53" t="inlineStr">
        <is>
          <t>Usuario participante (parte de la PK)</t>
        </is>
      </c>
      <c r="D267" s="48" t="n"/>
      <c r="E267" s="48" t="n"/>
      <c r="F267" s="49" t="n"/>
      <c r="G267" s="54" t="inlineStr">
        <is>
          <t>INTEGER</t>
        </is>
      </c>
      <c r="H267" s="48" t="n"/>
      <c r="I267" s="48" t="n"/>
      <c r="J267" s="49" t="n"/>
      <c r="K267" s="54" t="inlineStr">
        <is>
          <t>4 bytes</t>
        </is>
      </c>
      <c r="L267" s="48" t="n"/>
      <c r="M267" s="48" t="n"/>
      <c r="N267" s="49" t="n"/>
      <c r="O267" s="54" t="inlineStr">
        <is>
          <t>No</t>
        </is>
      </c>
      <c r="P267" s="48" t="n"/>
      <c r="Q267" s="49" t="n"/>
      <c r="R267" s="54" t="inlineStr">
        <is>
          <t>S</t>
        </is>
      </c>
      <c r="S267" s="49" t="n"/>
      <c r="T267" s="54" t="inlineStr">
        <is>
          <t>S</t>
        </is>
      </c>
      <c r="U267" s="49" t="n"/>
      <c r="V267" s="54" t="n"/>
      <c r="W267" s="49" t="n"/>
      <c r="X267" s="53" t="inlineStr">
        <is>
          <t>Ref. usuario(id_usuario) ON DELETE RESTRICT ON UPDATE CASCADE</t>
        </is>
      </c>
      <c r="Y267" s="49" t="n"/>
    </row>
    <row r="268" ht="30" customHeight="1" s="38">
      <c r="A268" s="52" t="n">
        <v>3</v>
      </c>
      <c r="B268" s="53" t="inlineStr">
        <is>
          <t>fecha_inscripcion</t>
        </is>
      </c>
      <c r="C268" s="53" t="inlineStr">
        <is>
          <t>Fecha y hora de inscripción</t>
        </is>
      </c>
      <c r="D268" s="48" t="n"/>
      <c r="E268" s="48" t="n"/>
      <c r="F268" s="49" t="n"/>
      <c r="G268" s="54" t="inlineStr">
        <is>
          <t>TIMESTAMP</t>
        </is>
      </c>
      <c r="H268" s="48" t="n"/>
      <c r="I268" s="48" t="n"/>
      <c r="J268" s="49" t="n"/>
      <c r="K268" s="54" t="inlineStr">
        <is>
          <t>8 bytes</t>
        </is>
      </c>
      <c r="L268" s="48" t="n"/>
      <c r="M268" s="48" t="n"/>
      <c r="N268" s="49" t="n"/>
      <c r="O268" s="54" t="inlineStr">
        <is>
          <t>No</t>
        </is>
      </c>
      <c r="P268" s="48" t="n"/>
      <c r="Q268" s="49" t="n"/>
      <c r="R268" s="54" t="n"/>
      <c r="S268" s="49" t="n"/>
      <c r="T268" s="54" t="n"/>
      <c r="U268" s="49" t="n"/>
      <c r="V268" s="54" t="n"/>
      <c r="W268" s="49" t="n"/>
      <c r="X268" s="53" t="inlineStr">
        <is>
          <t>DEFAULT CURRENT_TIMESTAMP</t>
        </is>
      </c>
      <c r="Y268" s="49" t="n"/>
    </row>
    <row r="269" ht="30" customHeight="1" s="38">
      <c r="A269" s="52" t="n">
        <v>4</v>
      </c>
      <c r="B269" s="53" t="inlineStr">
        <is>
          <t>valor_pagado</t>
        </is>
      </c>
      <c r="C269" s="53" t="inlineStr">
        <is>
          <t>Valor pagado por la entrada</t>
        </is>
      </c>
      <c r="D269" s="48" t="n"/>
      <c r="E269" s="48" t="n"/>
      <c r="F269" s="49" t="n"/>
      <c r="G269" s="54" t="inlineStr">
        <is>
          <t>NUMERIC</t>
        </is>
      </c>
      <c r="H269" s="48" t="n"/>
      <c r="I269" s="48" t="n"/>
      <c r="J269" s="49" t="n"/>
      <c r="K269" s="54" t="inlineStr">
        <is>
          <t>12,2</t>
        </is>
      </c>
      <c r="L269" s="48" t="n"/>
      <c r="M269" s="48" t="n"/>
      <c r="N269" s="49" t="n"/>
      <c r="O269" s="54" t="inlineStr">
        <is>
          <t>No</t>
        </is>
      </c>
      <c r="P269" s="48" t="n"/>
      <c r="Q269" s="49" t="n"/>
      <c r="R269" s="54" t="n"/>
      <c r="S269" s="49" t="n"/>
      <c r="T269" s="54" t="n"/>
      <c r="U269" s="49" t="n"/>
      <c r="V269" s="54" t="n"/>
      <c r="W269" s="49" t="n"/>
      <c r="X269" s="53" t="inlineStr">
        <is>
          <t>DEFAULT 0; CHECK (valor_pagado &gt;= (0)</t>
        </is>
      </c>
      <c r="Y269" s="49" t="n"/>
    </row>
    <row r="270" ht="30" customHeight="1" s="38">
      <c r="A270" s="52" t="n">
        <v>5</v>
      </c>
      <c r="B270" s="53" t="inlineStr">
        <is>
          <t>asistio</t>
        </is>
      </c>
      <c r="C270" s="53" t="inlineStr">
        <is>
          <t>TRUE si asistió</t>
        </is>
      </c>
      <c r="D270" s="48" t="n"/>
      <c r="E270" s="48" t="n"/>
      <c r="F270" s="49" t="n"/>
      <c r="G270" s="54" t="inlineStr">
        <is>
          <t>BOOLEAN</t>
        </is>
      </c>
      <c r="H270" s="48" t="n"/>
      <c r="I270" s="48" t="n"/>
      <c r="J270" s="49" t="n"/>
      <c r="K270" s="54" t="inlineStr">
        <is>
          <t>1 byte</t>
        </is>
      </c>
      <c r="L270" s="48" t="n"/>
      <c r="M270" s="48" t="n"/>
      <c r="N270" s="49" t="n"/>
      <c r="O270" s="54" t="inlineStr">
        <is>
          <t>No</t>
        </is>
      </c>
      <c r="P270" s="48" t="n"/>
      <c r="Q270" s="49" t="n"/>
      <c r="R270" s="54" t="n"/>
      <c r="S270" s="49" t="n"/>
      <c r="T270" s="54" t="n"/>
      <c r="U270" s="49" t="n"/>
      <c r="V270" s="54" t="n"/>
      <c r="W270" s="49" t="n"/>
      <c r="X270" s="53" t="inlineStr">
        <is>
          <t>DEFAULT false</t>
        </is>
      </c>
      <c r="Y270" s="49" t="n"/>
    </row>
    <row r="271" ht="30" customHeight="1" s="38">
      <c r="A271" s="52" t="n">
        <v>6</v>
      </c>
      <c r="B271" s="53" t="inlineStr">
        <is>
          <t>me_gusta</t>
        </is>
      </c>
      <c r="C271" s="53" t="inlineStr">
        <is>
          <t>TRUE si dio 'me gusta' después del evento</t>
        </is>
      </c>
      <c r="D271" s="48" t="n"/>
      <c r="E271" s="48" t="n"/>
      <c r="F271" s="49" t="n"/>
      <c r="G271" s="54" t="inlineStr">
        <is>
          <t>BOOLEAN</t>
        </is>
      </c>
      <c r="H271" s="48" t="n"/>
      <c r="I271" s="48" t="n"/>
      <c r="J271" s="49" t="n"/>
      <c r="K271" s="54" t="inlineStr">
        <is>
          <t>1 byte</t>
        </is>
      </c>
      <c r="L271" s="48" t="n"/>
      <c r="M271" s="48" t="n"/>
      <c r="N271" s="49" t="n"/>
      <c r="O271" s="54" t="inlineStr">
        <is>
          <t>No</t>
        </is>
      </c>
      <c r="P271" s="48" t="n"/>
      <c r="Q271" s="49" t="n"/>
      <c r="R271" s="54" t="n"/>
      <c r="S271" s="49" t="n"/>
      <c r="T271" s="54" t="n"/>
      <c r="U271" s="49" t="n"/>
      <c r="V271" s="54" t="n"/>
      <c r="W271" s="49" t="n"/>
      <c r="X271" s="53" t="inlineStr">
        <is>
          <t>DEFAULT false</t>
        </is>
      </c>
      <c r="Y271" s="49" t="n"/>
    </row>
    <row r="272" ht="60" customHeight="1" s="38">
      <c r="A272" s="52" t="n">
        <v>7</v>
      </c>
      <c r="B272" s="53" t="inlineStr">
        <is>
          <t>comentario_evento</t>
        </is>
      </c>
      <c r="C272" s="53" t="inlineStr">
        <is>
          <t>Comentario posterior al evento</t>
        </is>
      </c>
      <c r="D272" s="48" t="n"/>
      <c r="E272" s="48" t="n"/>
      <c r="F272" s="49" t="n"/>
      <c r="G272" s="54" t="inlineStr">
        <is>
          <t>VARCHAR</t>
        </is>
      </c>
      <c r="H272" s="48" t="n"/>
      <c r="I272" s="48" t="n"/>
      <c r="J272" s="49" t="n"/>
      <c r="K272" s="54" t="inlineStr">
        <is>
          <t>500</t>
        </is>
      </c>
      <c r="L272" s="48" t="n"/>
      <c r="M272" s="48" t="n"/>
      <c r="N272" s="49" t="n"/>
      <c r="O272" s="54" t="inlineStr">
        <is>
          <t>Sí</t>
        </is>
      </c>
      <c r="P272" s="48" t="n"/>
      <c r="Q272" s="49" t="n"/>
      <c r="R272" s="54" t="n"/>
      <c r="S272" s="49" t="n"/>
      <c r="T272" s="54" t="n"/>
      <c r="U272" s="49" t="n"/>
      <c r="V272" s="54" t="n"/>
      <c r="W272" s="49" t="n"/>
      <c r="X272" s="53" t="inlineStr">
        <is>
          <t>CHECK (comentario_evento IS NULL) AND (fecha_hora_comentario IS NULL) OR (comentario_evento IS NOT NULL) AND (fecha_hora_comentario IS NOT NULL)</t>
        </is>
      </c>
      <c r="Y272" s="49" t="n"/>
    </row>
    <row r="273" ht="60" customHeight="1" s="38">
      <c r="A273" s="52" t="n">
        <v>8</v>
      </c>
      <c r="B273" s="53" t="inlineStr">
        <is>
          <t>fecha_hora_comentario</t>
        </is>
      </c>
      <c r="C273" s="53" t="inlineStr">
        <is>
          <t>Fecha y hora del comentario</t>
        </is>
      </c>
      <c r="D273" s="48" t="n"/>
      <c r="E273" s="48" t="n"/>
      <c r="F273" s="49" t="n"/>
      <c r="G273" s="54" t="inlineStr">
        <is>
          <t>TIMESTAMP</t>
        </is>
      </c>
      <c r="H273" s="48" t="n"/>
      <c r="I273" s="48" t="n"/>
      <c r="J273" s="49" t="n"/>
      <c r="K273" s="54" t="inlineStr">
        <is>
          <t>8 bytes</t>
        </is>
      </c>
      <c r="L273" s="48" t="n"/>
      <c r="M273" s="48" t="n"/>
      <c r="N273" s="49" t="n"/>
      <c r="O273" s="54" t="inlineStr">
        <is>
          <t>Sí</t>
        </is>
      </c>
      <c r="P273" s="48" t="n"/>
      <c r="Q273" s="49" t="n"/>
      <c r="R273" s="54" t="n"/>
      <c r="S273" s="49" t="n"/>
      <c r="T273" s="54" t="n"/>
      <c r="U273" s="49" t="n"/>
      <c r="V273" s="54" t="n"/>
      <c r="W273" s="49" t="n"/>
      <c r="X273" s="53" t="inlineStr">
        <is>
          <t>CHECK (comentario_evento IS NULL) AND (fecha_hora_comentario IS NULL) OR (comentario_evento IS NOT NULL) AND (fecha_hora_comentario IS NOT NULL)</t>
        </is>
      </c>
      <c r="Y273" s="49" t="n"/>
    </row>
    <row r="274" ht="15.75" customHeight="1" s="38"/>
    <row r="275" ht="15.75" customHeight="1" s="38"/>
    <row r="276" ht="30" customHeight="1" s="38">
      <c r="A276" s="55" t="inlineStr">
        <is>
          <t xml:space="preserve">NOTA: En las columnas PK, FK y UK debe colocar  “S”  solamente cuando aplique. En la columna “Nulo” coloque “No” en caso de que el campo debe estar valorizado
</t>
        </is>
      </c>
    </row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1551">
    <mergeCell ref="O256:Q256"/>
    <mergeCell ref="V244:W244"/>
    <mergeCell ref="G200:J200"/>
    <mergeCell ref="R138:S138"/>
    <mergeCell ref="G202:J202"/>
    <mergeCell ref="V84:W84"/>
    <mergeCell ref="T198:U198"/>
    <mergeCell ref="K113:N113"/>
    <mergeCell ref="C187:F187"/>
    <mergeCell ref="R135:S135"/>
    <mergeCell ref="C64:F64"/>
    <mergeCell ref="T191:U191"/>
    <mergeCell ref="T51:U51"/>
    <mergeCell ref="O267:Q267"/>
    <mergeCell ref="C93:F93"/>
    <mergeCell ref="V255:W255"/>
    <mergeCell ref="G184:J184"/>
    <mergeCell ref="O269:Q269"/>
    <mergeCell ref="G222:J222"/>
    <mergeCell ref="T67:U67"/>
    <mergeCell ref="G215:J215"/>
    <mergeCell ref="T33:U33"/>
    <mergeCell ref="K166:N166"/>
    <mergeCell ref="C240:F240"/>
    <mergeCell ref="R146:S146"/>
    <mergeCell ref="K37:N37"/>
    <mergeCell ref="T35:U35"/>
    <mergeCell ref="K168:N168"/>
    <mergeCell ref="T252:U252"/>
    <mergeCell ref="C83:F83"/>
    <mergeCell ref="B16:E16"/>
    <mergeCell ref="K167:N167"/>
    <mergeCell ref="V99:W99"/>
    <mergeCell ref="C235:F235"/>
    <mergeCell ref="X74:Y74"/>
    <mergeCell ref="X68:Y68"/>
    <mergeCell ref="B18:E18"/>
    <mergeCell ref="G241:J241"/>
    <mergeCell ref="X76:Y76"/>
    <mergeCell ref="B11:E11"/>
    <mergeCell ref="G243:J243"/>
    <mergeCell ref="C137:F137"/>
    <mergeCell ref="K134:W134"/>
    <mergeCell ref="X69:Y69"/>
    <mergeCell ref="R199:S199"/>
    <mergeCell ref="C139:F139"/>
    <mergeCell ref="V65:W65"/>
    <mergeCell ref="C138:F138"/>
    <mergeCell ref="K98:N98"/>
    <mergeCell ref="O41:Q41"/>
    <mergeCell ref="O35:Q35"/>
    <mergeCell ref="T265:U265"/>
    <mergeCell ref="O43:Q43"/>
    <mergeCell ref="K93:N93"/>
    <mergeCell ref="X131:Y131"/>
    <mergeCell ref="X87:Y87"/>
    <mergeCell ref="X245:Y245"/>
    <mergeCell ref="K187:W187"/>
    <mergeCell ref="O67:Q67"/>
    <mergeCell ref="V49:W49"/>
    <mergeCell ref="K126:N126"/>
    <mergeCell ref="K109:N109"/>
    <mergeCell ref="K119:N119"/>
    <mergeCell ref="C193:F193"/>
    <mergeCell ref="X113:Y113"/>
    <mergeCell ref="C176:F176"/>
    <mergeCell ref="O98:Q98"/>
    <mergeCell ref="X115:Y115"/>
    <mergeCell ref="V80:W80"/>
    <mergeCell ref="X167:Y167"/>
    <mergeCell ref="C178:F178"/>
    <mergeCell ref="X169:Y169"/>
    <mergeCell ref="C209:F209"/>
    <mergeCell ref="R271:S271"/>
    <mergeCell ref="R246:S246"/>
    <mergeCell ref="K137:N137"/>
    <mergeCell ref="T65:U65"/>
    <mergeCell ref="K139:N139"/>
    <mergeCell ref="G155:J155"/>
    <mergeCell ref="C206:F206"/>
    <mergeCell ref="G157:J157"/>
    <mergeCell ref="F11:W11"/>
    <mergeCell ref="K59:N59"/>
    <mergeCell ref="K190:N190"/>
    <mergeCell ref="R170:S170"/>
    <mergeCell ref="A2:Y2"/>
    <mergeCell ref="C224:F224"/>
    <mergeCell ref="T234:U234"/>
    <mergeCell ref="V150:W150"/>
    <mergeCell ref="X179:Y179"/>
    <mergeCell ref="C217:F217"/>
    <mergeCell ref="C136:F136"/>
    <mergeCell ref="K193:N193"/>
    <mergeCell ref="X208:Y208"/>
    <mergeCell ref="X210:Y210"/>
    <mergeCell ref="C250:F250"/>
    <mergeCell ref="R41:S41"/>
    <mergeCell ref="T70:U70"/>
    <mergeCell ref="O180:Q180"/>
    <mergeCell ref="K209:N209"/>
    <mergeCell ref="R252:S252"/>
    <mergeCell ref="R43:S43"/>
    <mergeCell ref="T99:U99"/>
    <mergeCell ref="C120:F120"/>
    <mergeCell ref="T107:U107"/>
    <mergeCell ref="X139:Y139"/>
    <mergeCell ref="T101:U101"/>
    <mergeCell ref="V76:W76"/>
    <mergeCell ref="C149:F149"/>
    <mergeCell ref="G100:J100"/>
    <mergeCell ref="V165:W165"/>
    <mergeCell ref="R59:S59"/>
    <mergeCell ref="G102:J102"/>
    <mergeCell ref="V77:W77"/>
    <mergeCell ref="R242:S242"/>
    <mergeCell ref="R236:S236"/>
    <mergeCell ref="C200:F200"/>
    <mergeCell ref="K135:N135"/>
    <mergeCell ref="G97:J97"/>
    <mergeCell ref="O78:Q78"/>
    <mergeCell ref="V66:W66"/>
    <mergeCell ref="C202:F202"/>
    <mergeCell ref="C177:F177"/>
    <mergeCell ref="V218:W218"/>
    <mergeCell ref="O107:Q107"/>
    <mergeCell ref="X193:Y193"/>
    <mergeCell ref="F7:W7"/>
    <mergeCell ref="O231:Q231"/>
    <mergeCell ref="V234:W234"/>
    <mergeCell ref="R255:S255"/>
    <mergeCell ref="F8:W8"/>
    <mergeCell ref="K146:N146"/>
    <mergeCell ref="V115:W115"/>
    <mergeCell ref="O135:Q135"/>
    <mergeCell ref="V148:W148"/>
    <mergeCell ref="C215:F215"/>
    <mergeCell ref="V237:W237"/>
    <mergeCell ref="G166:J166"/>
    <mergeCell ref="X206:Y206"/>
    <mergeCell ref="G37:J37"/>
    <mergeCell ref="G167:J167"/>
    <mergeCell ref="K96:W96"/>
    <mergeCell ref="X207:Y207"/>
    <mergeCell ref="V130:W130"/>
    <mergeCell ref="C241:F241"/>
    <mergeCell ref="F21:W21"/>
    <mergeCell ref="G192:J192"/>
    <mergeCell ref="O146:Q146"/>
    <mergeCell ref="K200:N200"/>
    <mergeCell ref="T97:U97"/>
    <mergeCell ref="V159:W159"/>
    <mergeCell ref="C243:F243"/>
    <mergeCell ref="G63:J63"/>
    <mergeCell ref="K202:N202"/>
    <mergeCell ref="V161:W161"/>
    <mergeCell ref="X217:Y217"/>
    <mergeCell ref="R65:S65"/>
    <mergeCell ref="K231:N231"/>
    <mergeCell ref="O60:Q60"/>
    <mergeCell ref="G98:J98"/>
    <mergeCell ref="X225:Y225"/>
    <mergeCell ref="T129:U129"/>
    <mergeCell ref="R50:S50"/>
    <mergeCell ref="K256:N256"/>
    <mergeCell ref="C85:F85"/>
    <mergeCell ref="X250:Y250"/>
    <mergeCell ref="G93:J93"/>
    <mergeCell ref="T131:U131"/>
    <mergeCell ref="V179:W179"/>
    <mergeCell ref="O207:Q207"/>
    <mergeCell ref="G205:J205"/>
    <mergeCell ref="K257:N257"/>
    <mergeCell ref="G124:J124"/>
    <mergeCell ref="V189:W189"/>
    <mergeCell ref="T116:U116"/>
    <mergeCell ref="X251:Y251"/>
    <mergeCell ref="O200:Q200"/>
    <mergeCell ref="O44:Q44"/>
    <mergeCell ref="X253:Y253"/>
    <mergeCell ref="G109:J109"/>
    <mergeCell ref="O202:Q202"/>
    <mergeCell ref="G119:J119"/>
    <mergeCell ref="R84:S84"/>
    <mergeCell ref="R78:S78"/>
    <mergeCell ref="O217:Q217"/>
    <mergeCell ref="K246:N246"/>
    <mergeCell ref="R80:S80"/>
    <mergeCell ref="T167:U167"/>
    <mergeCell ref="O129:Q129"/>
    <mergeCell ref="K164:W164"/>
    <mergeCell ref="C184:F184"/>
    <mergeCell ref="X6:Y6"/>
    <mergeCell ref="K241:N241"/>
    <mergeCell ref="T169:U169"/>
    <mergeCell ref="T144:U144"/>
    <mergeCell ref="O131:Q131"/>
    <mergeCell ref="O220:Q220"/>
    <mergeCell ref="V233:W233"/>
    <mergeCell ref="G137:J137"/>
    <mergeCell ref="X177:Y177"/>
    <mergeCell ref="G139:J139"/>
    <mergeCell ref="V114:W114"/>
    <mergeCell ref="G168:J168"/>
    <mergeCell ref="O271:Q271"/>
    <mergeCell ref="F17:W17"/>
    <mergeCell ref="X17:Y17"/>
    <mergeCell ref="V259:W259"/>
    <mergeCell ref="O273:Q273"/>
    <mergeCell ref="T68:U68"/>
    <mergeCell ref="V261:W261"/>
    <mergeCell ref="X19:Y19"/>
    <mergeCell ref="O144:Q144"/>
    <mergeCell ref="G67:J67"/>
    <mergeCell ref="G219:J219"/>
    <mergeCell ref="O268:Q268"/>
    <mergeCell ref="V256:W256"/>
    <mergeCell ref="X14:Y14"/>
    <mergeCell ref="R150:S150"/>
    <mergeCell ref="K41:N41"/>
    <mergeCell ref="T208:U208"/>
    <mergeCell ref="K43:N43"/>
    <mergeCell ref="K105:W105"/>
    <mergeCell ref="V183:W183"/>
    <mergeCell ref="T210:U210"/>
    <mergeCell ref="V272:W272"/>
    <mergeCell ref="G201:J201"/>
    <mergeCell ref="B15:E15"/>
    <mergeCell ref="G230:J230"/>
    <mergeCell ref="X243:Y243"/>
    <mergeCell ref="G232:J232"/>
    <mergeCell ref="K183:N183"/>
    <mergeCell ref="R74:S74"/>
    <mergeCell ref="K54:N54"/>
    <mergeCell ref="C128:F128"/>
    <mergeCell ref="X244:Y244"/>
    <mergeCell ref="R76:S76"/>
    <mergeCell ref="T138:U138"/>
    <mergeCell ref="K271:N271"/>
    <mergeCell ref="G233:J233"/>
    <mergeCell ref="C100:F100"/>
    <mergeCell ref="R165:S165"/>
    <mergeCell ref="K237:N237"/>
    <mergeCell ref="K273:N273"/>
    <mergeCell ref="C129:F129"/>
    <mergeCell ref="R77:S77"/>
    <mergeCell ref="O216:Q216"/>
    <mergeCell ref="O210:Q210"/>
    <mergeCell ref="X84:Y84"/>
    <mergeCell ref="V198:W198"/>
    <mergeCell ref="B28:E28"/>
    <mergeCell ref="K268:N268"/>
    <mergeCell ref="X86:Y86"/>
    <mergeCell ref="R216:S216"/>
    <mergeCell ref="R87:S87"/>
    <mergeCell ref="G164:J164"/>
    <mergeCell ref="G217:J217"/>
    <mergeCell ref="R218:S218"/>
    <mergeCell ref="O58:Q58"/>
    <mergeCell ref="R89:S89"/>
    <mergeCell ref="O244:Q244"/>
    <mergeCell ref="V257:W257"/>
    <mergeCell ref="R219:S219"/>
    <mergeCell ref="O115:Q115"/>
    <mergeCell ref="O237:Q237"/>
    <mergeCell ref="R234:S234"/>
    <mergeCell ref="O229:Q229"/>
    <mergeCell ref="V41:W41"/>
    <mergeCell ref="C55:F55"/>
    <mergeCell ref="G190:J190"/>
    <mergeCell ref="X106:Y106"/>
    <mergeCell ref="V252:W252"/>
    <mergeCell ref="X10:Y10"/>
    <mergeCell ref="R115:S115"/>
    <mergeCell ref="R148:S148"/>
    <mergeCell ref="C52:F52"/>
    <mergeCell ref="T179:U179"/>
    <mergeCell ref="R237:S237"/>
    <mergeCell ref="O255:Q255"/>
    <mergeCell ref="T206:U206"/>
    <mergeCell ref="C37:F37"/>
    <mergeCell ref="G32:J32"/>
    <mergeCell ref="X34:Y34"/>
    <mergeCell ref="V270:W270"/>
    <mergeCell ref="X28:Y28"/>
    <mergeCell ref="T207:U207"/>
    <mergeCell ref="K154:N154"/>
    <mergeCell ref="R159:S159"/>
    <mergeCell ref="C63:F63"/>
    <mergeCell ref="C221:F221"/>
    <mergeCell ref="K181:N181"/>
    <mergeCell ref="R161:S161"/>
    <mergeCell ref="X54:Y54"/>
    <mergeCell ref="K58:N58"/>
    <mergeCell ref="T217:U217"/>
    <mergeCell ref="O179:Q179"/>
    <mergeCell ref="G231:J231"/>
    <mergeCell ref="X56:Y56"/>
    <mergeCell ref="T235:U235"/>
    <mergeCell ref="K53:N53"/>
    <mergeCell ref="G256:J256"/>
    <mergeCell ref="X57:Y57"/>
    <mergeCell ref="B26:E26"/>
    <mergeCell ref="K78:N78"/>
    <mergeCell ref="G257:J257"/>
    <mergeCell ref="R189:S189"/>
    <mergeCell ref="T251:U251"/>
    <mergeCell ref="K80:N80"/>
    <mergeCell ref="K142:W142"/>
    <mergeCell ref="B27:E27"/>
    <mergeCell ref="G272:J272"/>
    <mergeCell ref="K79:N79"/>
    <mergeCell ref="O181:Q181"/>
    <mergeCell ref="C147:F147"/>
    <mergeCell ref="X75:Y75"/>
    <mergeCell ref="C148:F148"/>
    <mergeCell ref="O235:Q235"/>
    <mergeCell ref="X129:Y129"/>
    <mergeCell ref="G269:J269"/>
    <mergeCell ref="K220:N220"/>
    <mergeCell ref="O49:Q49"/>
    <mergeCell ref="C165:F165"/>
    <mergeCell ref="K222:N222"/>
    <mergeCell ref="T175:U175"/>
    <mergeCell ref="X97:Y97"/>
    <mergeCell ref="V64:W64"/>
    <mergeCell ref="R233:S233"/>
    <mergeCell ref="G270:J270"/>
    <mergeCell ref="K197:W197"/>
    <mergeCell ref="C77:F77"/>
    <mergeCell ref="T177:U177"/>
    <mergeCell ref="O42:Q42"/>
    <mergeCell ref="X128:Y128"/>
    <mergeCell ref="K92:N92"/>
    <mergeCell ref="V93:W93"/>
    <mergeCell ref="X155:Y155"/>
    <mergeCell ref="C166:F166"/>
    <mergeCell ref="R114:S114"/>
    <mergeCell ref="C160:F160"/>
    <mergeCell ref="O253:Q253"/>
    <mergeCell ref="G117:J117"/>
    <mergeCell ref="X121:Y121"/>
    <mergeCell ref="X157:Y157"/>
    <mergeCell ref="O37:Q37"/>
    <mergeCell ref="G199:J199"/>
    <mergeCell ref="R259:S259"/>
    <mergeCell ref="K150:N150"/>
    <mergeCell ref="R130:S130"/>
    <mergeCell ref="R261:S261"/>
    <mergeCell ref="R254:S254"/>
    <mergeCell ref="K145:N145"/>
    <mergeCell ref="C219:F219"/>
    <mergeCell ref="O88:Q88"/>
    <mergeCell ref="V235:W235"/>
    <mergeCell ref="R256:S256"/>
    <mergeCell ref="K147:N147"/>
    <mergeCell ref="G41:J41"/>
    <mergeCell ref="V106:W106"/>
    <mergeCell ref="V78:W78"/>
    <mergeCell ref="G43:J43"/>
    <mergeCell ref="X170:Y170"/>
    <mergeCell ref="X53:Y53"/>
    <mergeCell ref="G36:J36"/>
    <mergeCell ref="R272:S272"/>
    <mergeCell ref="X55:Y55"/>
    <mergeCell ref="C230:F230"/>
    <mergeCell ref="K165:N165"/>
    <mergeCell ref="K44:N44"/>
    <mergeCell ref="C118:F118"/>
    <mergeCell ref="G69:J69"/>
    <mergeCell ref="C232:F232"/>
    <mergeCell ref="K77:N77"/>
    <mergeCell ref="X223:Y223"/>
    <mergeCell ref="T244:U244"/>
    <mergeCell ref="C233:F233"/>
    <mergeCell ref="K191:N191"/>
    <mergeCell ref="X66:Y66"/>
    <mergeCell ref="O51:Q51"/>
    <mergeCell ref="C258:F258"/>
    <mergeCell ref="K218:N218"/>
    <mergeCell ref="R198:S198"/>
    <mergeCell ref="A30:Y30"/>
    <mergeCell ref="V176:W176"/>
    <mergeCell ref="C260:F260"/>
    <mergeCell ref="O76:Q76"/>
    <mergeCell ref="G268:J268"/>
    <mergeCell ref="K88:N88"/>
    <mergeCell ref="R51:S51"/>
    <mergeCell ref="K219:N219"/>
    <mergeCell ref="V178:W178"/>
    <mergeCell ref="X117:Y117"/>
    <mergeCell ref="K90:N90"/>
    <mergeCell ref="C164:F164"/>
    <mergeCell ref="O77:Q77"/>
    <mergeCell ref="O33:Q33"/>
    <mergeCell ref="X242:Y242"/>
    <mergeCell ref="K115:N115"/>
    <mergeCell ref="X148:Y148"/>
    <mergeCell ref="K116:N116"/>
    <mergeCell ref="C190:F190"/>
    <mergeCell ref="O218:Q218"/>
    <mergeCell ref="K230:N230"/>
    <mergeCell ref="O59:Q59"/>
    <mergeCell ref="O89:Q89"/>
    <mergeCell ref="K118:N118"/>
    <mergeCell ref="K143:N143"/>
    <mergeCell ref="C175:F175"/>
    <mergeCell ref="V74:W74"/>
    <mergeCell ref="X166:Y166"/>
    <mergeCell ref="X168:Y168"/>
    <mergeCell ref="C201:F201"/>
    <mergeCell ref="O148:Q148"/>
    <mergeCell ref="G65:J65"/>
    <mergeCell ref="T57:U57"/>
    <mergeCell ref="X192:Y192"/>
    <mergeCell ref="G154:J154"/>
    <mergeCell ref="V129:W129"/>
    <mergeCell ref="X158:Y158"/>
    <mergeCell ref="K156:N156"/>
    <mergeCell ref="X194:Y194"/>
    <mergeCell ref="V121:W121"/>
    <mergeCell ref="O143:Q143"/>
    <mergeCell ref="V131:W131"/>
    <mergeCell ref="T58:U58"/>
    <mergeCell ref="G60:J60"/>
    <mergeCell ref="V87:W87"/>
    <mergeCell ref="T54:U54"/>
    <mergeCell ref="V89:W89"/>
    <mergeCell ref="X189:Y189"/>
    <mergeCell ref="K189:N189"/>
    <mergeCell ref="C45:F45"/>
    <mergeCell ref="O159:Q159"/>
    <mergeCell ref="K188:N188"/>
    <mergeCell ref="K182:N182"/>
    <mergeCell ref="V120:W120"/>
    <mergeCell ref="T85:U85"/>
    <mergeCell ref="C256:F256"/>
    <mergeCell ref="T84:U84"/>
    <mergeCell ref="O161:Q161"/>
    <mergeCell ref="V113:W113"/>
    <mergeCell ref="C127:F127"/>
    <mergeCell ref="V149:W149"/>
    <mergeCell ref="G78:J78"/>
    <mergeCell ref="C257:F257"/>
    <mergeCell ref="G80:J80"/>
    <mergeCell ref="R167:S167"/>
    <mergeCell ref="V55:W55"/>
    <mergeCell ref="C272:F272"/>
    <mergeCell ref="O156:Q156"/>
    <mergeCell ref="G79:J79"/>
    <mergeCell ref="G73:J73"/>
    <mergeCell ref="X119:Y119"/>
    <mergeCell ref="T225:U225"/>
    <mergeCell ref="X233:Y233"/>
    <mergeCell ref="C267:F267"/>
    <mergeCell ref="K124:W124"/>
    <mergeCell ref="K201:N201"/>
    <mergeCell ref="V202:W202"/>
    <mergeCell ref="C269:F269"/>
    <mergeCell ref="O91:Q91"/>
    <mergeCell ref="K114:N114"/>
    <mergeCell ref="X49:Y49"/>
    <mergeCell ref="O57:Q57"/>
    <mergeCell ref="X260:Y260"/>
    <mergeCell ref="V45:W45"/>
    <mergeCell ref="X259:Y259"/>
    <mergeCell ref="C270:F270"/>
    <mergeCell ref="O86:Q86"/>
    <mergeCell ref="X261:Y261"/>
    <mergeCell ref="G92:J92"/>
    <mergeCell ref="R93:S93"/>
    <mergeCell ref="T155:U155"/>
    <mergeCell ref="K254:N254"/>
    <mergeCell ref="T157:U157"/>
    <mergeCell ref="F15:W15"/>
    <mergeCell ref="K48:W48"/>
    <mergeCell ref="K125:N125"/>
    <mergeCell ref="O233:Q233"/>
    <mergeCell ref="T150:U150"/>
    <mergeCell ref="G150:J150"/>
    <mergeCell ref="V215:W215"/>
    <mergeCell ref="K127:N127"/>
    <mergeCell ref="O70:Q70"/>
    <mergeCell ref="V216:W216"/>
    <mergeCell ref="G145:J145"/>
    <mergeCell ref="G181:J181"/>
    <mergeCell ref="K272:N272"/>
    <mergeCell ref="R235:S235"/>
    <mergeCell ref="G147:J147"/>
    <mergeCell ref="G174:J174"/>
    <mergeCell ref="C41:F41"/>
    <mergeCell ref="R106:S106"/>
    <mergeCell ref="V241:W241"/>
    <mergeCell ref="O101:Q101"/>
    <mergeCell ref="O130:Q130"/>
    <mergeCell ref="T56:U56"/>
    <mergeCell ref="C43:F43"/>
    <mergeCell ref="K267:N267"/>
    <mergeCell ref="T170:U170"/>
    <mergeCell ref="V109:W109"/>
    <mergeCell ref="V145:W145"/>
    <mergeCell ref="R107:S107"/>
    <mergeCell ref="C36:F36"/>
    <mergeCell ref="K269:N269"/>
    <mergeCell ref="G207:J207"/>
    <mergeCell ref="O125:Q125"/>
    <mergeCell ref="V147:W147"/>
    <mergeCell ref="C67:F67"/>
    <mergeCell ref="O127:Q127"/>
    <mergeCell ref="G165:J165"/>
    <mergeCell ref="G44:J44"/>
    <mergeCell ref="R34:S34"/>
    <mergeCell ref="C69:F69"/>
    <mergeCell ref="G158:J158"/>
    <mergeCell ref="C96:F96"/>
    <mergeCell ref="G77:J77"/>
    <mergeCell ref="R36:S36"/>
    <mergeCell ref="O272:Q272"/>
    <mergeCell ref="T92:U92"/>
    <mergeCell ref="C98:F98"/>
    <mergeCell ref="T223:U223"/>
    <mergeCell ref="T100:U100"/>
    <mergeCell ref="K51:N51"/>
    <mergeCell ref="O178:Q178"/>
    <mergeCell ref="X45:Y45"/>
    <mergeCell ref="G191:J191"/>
    <mergeCell ref="T66:U66"/>
    <mergeCell ref="T218:U218"/>
    <mergeCell ref="V158:W158"/>
    <mergeCell ref="G220:J220"/>
    <mergeCell ref="V193:W193"/>
    <mergeCell ref="V160:W160"/>
    <mergeCell ref="R176:S176"/>
    <mergeCell ref="K42:N42"/>
    <mergeCell ref="X257:Y257"/>
    <mergeCell ref="C268:F268"/>
    <mergeCell ref="G88:J88"/>
    <mergeCell ref="R64:S64"/>
    <mergeCell ref="T120:U120"/>
    <mergeCell ref="R178:S178"/>
    <mergeCell ref="R57:S57"/>
    <mergeCell ref="G90:J90"/>
    <mergeCell ref="R49:S49"/>
    <mergeCell ref="V184:W184"/>
    <mergeCell ref="T242:U242"/>
    <mergeCell ref="T121:U121"/>
    <mergeCell ref="O198:Q198"/>
    <mergeCell ref="G115:J115"/>
    <mergeCell ref="T148:U148"/>
    <mergeCell ref="O199:Q199"/>
    <mergeCell ref="G116:J116"/>
    <mergeCell ref="R75:S75"/>
    <mergeCell ref="R206:S206"/>
    <mergeCell ref="G118:J118"/>
    <mergeCell ref="X270:Y270"/>
    <mergeCell ref="F24:W24"/>
    <mergeCell ref="F26:W26"/>
    <mergeCell ref="G134:J134"/>
    <mergeCell ref="O252:Q252"/>
    <mergeCell ref="R217:S217"/>
    <mergeCell ref="F27:W27"/>
    <mergeCell ref="K108:N108"/>
    <mergeCell ref="V225:W225"/>
    <mergeCell ref="T192:U192"/>
    <mergeCell ref="R129:S129"/>
    <mergeCell ref="T194:U194"/>
    <mergeCell ref="R121:S121"/>
    <mergeCell ref="V250:W250"/>
    <mergeCell ref="C183:F183"/>
    <mergeCell ref="R131:S131"/>
    <mergeCell ref="O270:Q270"/>
    <mergeCell ref="X138:Y138"/>
    <mergeCell ref="G187:J187"/>
    <mergeCell ref="T189:U189"/>
    <mergeCell ref="V251:W251"/>
    <mergeCell ref="X9:Y9"/>
    <mergeCell ref="G180:J180"/>
    <mergeCell ref="G216:J216"/>
    <mergeCell ref="O265:Q265"/>
    <mergeCell ref="G188:J188"/>
    <mergeCell ref="V253:W253"/>
    <mergeCell ref="X11:Y11"/>
    <mergeCell ref="G182:J182"/>
    <mergeCell ref="G218:J218"/>
    <mergeCell ref="G211:J211"/>
    <mergeCell ref="R149:S149"/>
    <mergeCell ref="C78:F78"/>
    <mergeCell ref="K33:N33"/>
    <mergeCell ref="C107:F107"/>
    <mergeCell ref="R55:S55"/>
    <mergeCell ref="C79:F79"/>
    <mergeCell ref="R144:S144"/>
    <mergeCell ref="C73:F73"/>
    <mergeCell ref="B12:E12"/>
    <mergeCell ref="K35:N35"/>
    <mergeCell ref="C231:F231"/>
    <mergeCell ref="T119:U119"/>
    <mergeCell ref="K228:W228"/>
    <mergeCell ref="K252:N252"/>
    <mergeCell ref="T233:U233"/>
    <mergeCell ref="X246:Y246"/>
    <mergeCell ref="B14:E14"/>
    <mergeCell ref="R200:S200"/>
    <mergeCell ref="G53:J53"/>
    <mergeCell ref="G229:J229"/>
    <mergeCell ref="B13:E13"/>
    <mergeCell ref="V177:W177"/>
    <mergeCell ref="K180:N180"/>
    <mergeCell ref="R202:S202"/>
    <mergeCell ref="G114:J114"/>
    <mergeCell ref="X241:Y241"/>
    <mergeCell ref="R231:S231"/>
    <mergeCell ref="C135:F135"/>
    <mergeCell ref="T260:U260"/>
    <mergeCell ref="G143:J143"/>
    <mergeCell ref="T137:U137"/>
    <mergeCell ref="T259:U259"/>
    <mergeCell ref="G255:J255"/>
    <mergeCell ref="K236:N236"/>
    <mergeCell ref="T261:U261"/>
    <mergeCell ref="C92:F92"/>
    <mergeCell ref="B25:E25"/>
    <mergeCell ref="O208:Q208"/>
    <mergeCell ref="G125:J125"/>
    <mergeCell ref="X85:Y85"/>
    <mergeCell ref="R215:S215"/>
    <mergeCell ref="C146:F146"/>
    <mergeCell ref="K106:N106"/>
    <mergeCell ref="G127:J127"/>
    <mergeCell ref="X114:Y114"/>
    <mergeCell ref="V37:W37"/>
    <mergeCell ref="R210:S210"/>
    <mergeCell ref="T272:U272"/>
    <mergeCell ref="K107:N107"/>
    <mergeCell ref="C181:F181"/>
    <mergeCell ref="O234:Q234"/>
    <mergeCell ref="C174:F174"/>
    <mergeCell ref="R241:S241"/>
    <mergeCell ref="O236:Q236"/>
    <mergeCell ref="X13:Y13"/>
    <mergeCell ref="X7:Y7"/>
    <mergeCell ref="R243:S243"/>
    <mergeCell ref="R113:S113"/>
    <mergeCell ref="O106:Q106"/>
    <mergeCell ref="C44:F44"/>
    <mergeCell ref="C80:F80"/>
    <mergeCell ref="X183:Y183"/>
    <mergeCell ref="K176:N176"/>
    <mergeCell ref="G51:J51"/>
    <mergeCell ref="T45:U45"/>
    <mergeCell ref="B5:E5"/>
    <mergeCell ref="K57:N57"/>
    <mergeCell ref="C131:F131"/>
    <mergeCell ref="X209:Y209"/>
    <mergeCell ref="C220:F220"/>
    <mergeCell ref="C245:F245"/>
    <mergeCell ref="R168:S168"/>
    <mergeCell ref="R160:S160"/>
    <mergeCell ref="G251:J251"/>
    <mergeCell ref="G42:J42"/>
    <mergeCell ref="T257:U257"/>
    <mergeCell ref="C126:F126"/>
    <mergeCell ref="G253:J253"/>
    <mergeCell ref="K60:N60"/>
    <mergeCell ref="X79:Y79"/>
    <mergeCell ref="C117:F117"/>
    <mergeCell ref="K174:N174"/>
    <mergeCell ref="R184:S184"/>
    <mergeCell ref="K75:N75"/>
    <mergeCell ref="G254:J254"/>
    <mergeCell ref="C115:F115"/>
    <mergeCell ref="O176:Q176"/>
    <mergeCell ref="K199:N199"/>
    <mergeCell ref="T102:U102"/>
    <mergeCell ref="C273:F273"/>
    <mergeCell ref="R179:S179"/>
    <mergeCell ref="C150:F150"/>
    <mergeCell ref="K70:N70"/>
    <mergeCell ref="K207:N207"/>
    <mergeCell ref="C144:F144"/>
    <mergeCell ref="X224:Y224"/>
    <mergeCell ref="V34:W34"/>
    <mergeCell ref="C145:F145"/>
    <mergeCell ref="T270:U270"/>
    <mergeCell ref="O232:Q232"/>
    <mergeCell ref="G96:J96"/>
    <mergeCell ref="K217:N217"/>
    <mergeCell ref="X136:Y136"/>
    <mergeCell ref="X92:Y92"/>
    <mergeCell ref="T113:U113"/>
    <mergeCell ref="K129:N129"/>
    <mergeCell ref="G267:J267"/>
    <mergeCell ref="R268:S268"/>
    <mergeCell ref="C134:F134"/>
    <mergeCell ref="K131:N131"/>
    <mergeCell ref="V90:W90"/>
    <mergeCell ref="F6:W6"/>
    <mergeCell ref="G108:J108"/>
    <mergeCell ref="V56:W56"/>
    <mergeCell ref="R225:S225"/>
    <mergeCell ref="V91:W91"/>
    <mergeCell ref="X120:Y120"/>
    <mergeCell ref="V85:W85"/>
    <mergeCell ref="C158:F158"/>
    <mergeCell ref="R250:S250"/>
    <mergeCell ref="X174:Y174"/>
    <mergeCell ref="X149:Y149"/>
    <mergeCell ref="R251:S251"/>
    <mergeCell ref="C216:F216"/>
    <mergeCell ref="C191:F191"/>
    <mergeCell ref="V232:W232"/>
    <mergeCell ref="R253:S253"/>
    <mergeCell ref="O121:Q121"/>
    <mergeCell ref="K144:N144"/>
    <mergeCell ref="C218:F218"/>
    <mergeCell ref="T222:U222"/>
    <mergeCell ref="O87:Q87"/>
    <mergeCell ref="V75:W75"/>
    <mergeCell ref="C211:F211"/>
    <mergeCell ref="X44:Y44"/>
    <mergeCell ref="O116:Q116"/>
    <mergeCell ref="X202:Y202"/>
    <mergeCell ref="G33:J33"/>
    <mergeCell ref="G35:J35"/>
    <mergeCell ref="F18:W18"/>
    <mergeCell ref="O113:Q113"/>
    <mergeCell ref="G252:J252"/>
    <mergeCell ref="O174:Q174"/>
    <mergeCell ref="C237:F237"/>
    <mergeCell ref="C53:F53"/>
    <mergeCell ref="C229:F229"/>
    <mergeCell ref="R177:S177"/>
    <mergeCell ref="K74:N74"/>
    <mergeCell ref="V155:W155"/>
    <mergeCell ref="G59:J59"/>
    <mergeCell ref="X220:Y220"/>
    <mergeCell ref="O169:Q169"/>
    <mergeCell ref="V157:W157"/>
    <mergeCell ref="C143:F143"/>
    <mergeCell ref="X221:Y221"/>
    <mergeCell ref="R53:S53"/>
    <mergeCell ref="X215:Y215"/>
    <mergeCell ref="C255:F255"/>
    <mergeCell ref="K216:N216"/>
    <mergeCell ref="K210:N210"/>
    <mergeCell ref="V175:W175"/>
    <mergeCell ref="R79:S79"/>
    <mergeCell ref="O74:Q74"/>
    <mergeCell ref="G106:J106"/>
    <mergeCell ref="C154:F154"/>
    <mergeCell ref="T114:U114"/>
    <mergeCell ref="G105:J105"/>
    <mergeCell ref="R37:S37"/>
    <mergeCell ref="X145:Y145"/>
    <mergeCell ref="C156:F156"/>
    <mergeCell ref="G107:J107"/>
    <mergeCell ref="X234:Y234"/>
    <mergeCell ref="T139:U139"/>
    <mergeCell ref="V201:W201"/>
    <mergeCell ref="X147:Y147"/>
    <mergeCell ref="K244:N244"/>
    <mergeCell ref="C180:F180"/>
    <mergeCell ref="K229:N229"/>
    <mergeCell ref="T36:U36"/>
    <mergeCell ref="C182:F182"/>
    <mergeCell ref="R92:S92"/>
    <mergeCell ref="V100:W100"/>
    <mergeCell ref="V231:W231"/>
    <mergeCell ref="G135:J135"/>
    <mergeCell ref="O114:Q114"/>
    <mergeCell ref="V102:W102"/>
    <mergeCell ref="O109:Q109"/>
    <mergeCell ref="T183:U183"/>
    <mergeCell ref="K255:N255"/>
    <mergeCell ref="T193:U193"/>
    <mergeCell ref="F13:W13"/>
    <mergeCell ref="X160:Y160"/>
    <mergeCell ref="V127:W127"/>
    <mergeCell ref="T176:U176"/>
    <mergeCell ref="O138:Q138"/>
    <mergeCell ref="T64:U64"/>
    <mergeCell ref="X15:Y15"/>
    <mergeCell ref="V128:W128"/>
    <mergeCell ref="G57:J57"/>
    <mergeCell ref="G146:J146"/>
    <mergeCell ref="T209:U209"/>
    <mergeCell ref="C251:F251"/>
    <mergeCell ref="G58:J58"/>
    <mergeCell ref="X219:Y219"/>
    <mergeCell ref="K179:N179"/>
    <mergeCell ref="C253:F253"/>
    <mergeCell ref="V269:W269"/>
    <mergeCell ref="O158:Q158"/>
    <mergeCell ref="G75:J75"/>
    <mergeCell ref="V181:W181"/>
    <mergeCell ref="C254:F254"/>
    <mergeCell ref="O64:Q64"/>
    <mergeCell ref="F28:W28"/>
    <mergeCell ref="B3:E3"/>
    <mergeCell ref="V166:W166"/>
    <mergeCell ref="G70:J70"/>
    <mergeCell ref="G228:J228"/>
    <mergeCell ref="V168:W168"/>
    <mergeCell ref="X230:Y230"/>
    <mergeCell ref="K50:N50"/>
    <mergeCell ref="C124:F124"/>
    <mergeCell ref="T224:U224"/>
    <mergeCell ref="O211:Q211"/>
    <mergeCell ref="X232:Y232"/>
    <mergeCell ref="C90:F90"/>
    <mergeCell ref="K52:N52"/>
    <mergeCell ref="T136:U136"/>
    <mergeCell ref="V192:W192"/>
    <mergeCell ref="C119:F119"/>
    <mergeCell ref="O206:Q206"/>
    <mergeCell ref="V200:W200"/>
    <mergeCell ref="G129:J129"/>
    <mergeCell ref="G246:J246"/>
    <mergeCell ref="V194:W194"/>
    <mergeCell ref="B24:E24"/>
    <mergeCell ref="R88:S88"/>
    <mergeCell ref="G131:J131"/>
    <mergeCell ref="X258:Y258"/>
    <mergeCell ref="R90:S90"/>
    <mergeCell ref="C108:F108"/>
    <mergeCell ref="K251:N251"/>
    <mergeCell ref="G126:J126"/>
    <mergeCell ref="R91:S91"/>
    <mergeCell ref="R85:S85"/>
    <mergeCell ref="O224:Q224"/>
    <mergeCell ref="K253:N253"/>
    <mergeCell ref="F14:W14"/>
    <mergeCell ref="V36:W36"/>
    <mergeCell ref="C109:F109"/>
    <mergeCell ref="T60:U60"/>
    <mergeCell ref="T149:U149"/>
    <mergeCell ref="X100:Y100"/>
    <mergeCell ref="K40:W40"/>
    <mergeCell ref="O225:Q225"/>
    <mergeCell ref="X180:Y180"/>
    <mergeCell ref="C51:F51"/>
    <mergeCell ref="G142:J142"/>
    <mergeCell ref="X102:Y102"/>
    <mergeCell ref="V126:W126"/>
    <mergeCell ref="X182:Y182"/>
    <mergeCell ref="G144:J144"/>
    <mergeCell ref="K73:W73"/>
    <mergeCell ref="G173:J173"/>
    <mergeCell ref="O251:Q251"/>
    <mergeCell ref="T202:U202"/>
    <mergeCell ref="C33:F33"/>
    <mergeCell ref="T79:U79"/>
    <mergeCell ref="V266:W266"/>
    <mergeCell ref="X24:Y24"/>
    <mergeCell ref="C35:F35"/>
    <mergeCell ref="G170:J170"/>
    <mergeCell ref="V137:W137"/>
    <mergeCell ref="V268:W268"/>
    <mergeCell ref="X26:Y26"/>
    <mergeCell ref="V139:W139"/>
    <mergeCell ref="R155:S155"/>
    <mergeCell ref="C59:F59"/>
    <mergeCell ref="T220:U220"/>
    <mergeCell ref="X27:Y27"/>
    <mergeCell ref="R157:S157"/>
    <mergeCell ref="O175:Q175"/>
    <mergeCell ref="X52:Y52"/>
    <mergeCell ref="T221:U221"/>
    <mergeCell ref="T215:U215"/>
    <mergeCell ref="K112:W112"/>
    <mergeCell ref="O177:Q177"/>
    <mergeCell ref="G242:J242"/>
    <mergeCell ref="X37:Y37"/>
    <mergeCell ref="G208:J208"/>
    <mergeCell ref="T246:U246"/>
    <mergeCell ref="G244:J244"/>
    <mergeCell ref="B22:E22"/>
    <mergeCell ref="R183:S183"/>
    <mergeCell ref="G237:J237"/>
    <mergeCell ref="R175:S175"/>
    <mergeCell ref="R54:S54"/>
    <mergeCell ref="X256:Y256"/>
    <mergeCell ref="T241:U241"/>
    <mergeCell ref="K76:N76"/>
    <mergeCell ref="G245:J245"/>
    <mergeCell ref="R56:S56"/>
    <mergeCell ref="C105:F105"/>
    <mergeCell ref="T243:U243"/>
    <mergeCell ref="K67:N67"/>
    <mergeCell ref="T145:U145"/>
    <mergeCell ref="T147:U147"/>
    <mergeCell ref="F5:W5"/>
    <mergeCell ref="V209:W209"/>
    <mergeCell ref="G113:J113"/>
    <mergeCell ref="X98:Y98"/>
    <mergeCell ref="G271:J271"/>
    <mergeCell ref="G265:J265"/>
    <mergeCell ref="X91:Y91"/>
    <mergeCell ref="X267:Y267"/>
    <mergeCell ref="G273:J273"/>
    <mergeCell ref="K87:N87"/>
    <mergeCell ref="R257:S257"/>
    <mergeCell ref="X269:Y269"/>
    <mergeCell ref="R223:S223"/>
    <mergeCell ref="K89:N89"/>
    <mergeCell ref="R100:S100"/>
    <mergeCell ref="V229:W229"/>
    <mergeCell ref="K153:W153"/>
    <mergeCell ref="T158:U158"/>
    <mergeCell ref="V53:W53"/>
    <mergeCell ref="O120:Q120"/>
    <mergeCell ref="X109:Y109"/>
    <mergeCell ref="T160:U160"/>
    <mergeCell ref="R127:S127"/>
    <mergeCell ref="G197:J197"/>
    <mergeCell ref="C91:F91"/>
    <mergeCell ref="K148:N148"/>
    <mergeCell ref="R128:S128"/>
    <mergeCell ref="C57:F57"/>
    <mergeCell ref="T184:U184"/>
    <mergeCell ref="V79:W79"/>
    <mergeCell ref="C86:F86"/>
    <mergeCell ref="K83:W83"/>
    <mergeCell ref="X137:Y137"/>
    <mergeCell ref="K214:W214"/>
    <mergeCell ref="C58:F58"/>
    <mergeCell ref="G179:J179"/>
    <mergeCell ref="R269:S269"/>
    <mergeCell ref="X51:Y51"/>
    <mergeCell ref="K159:N159"/>
    <mergeCell ref="R181:S181"/>
    <mergeCell ref="T34:U34"/>
    <mergeCell ref="G210:J210"/>
    <mergeCell ref="R270:S270"/>
    <mergeCell ref="K161:N161"/>
    <mergeCell ref="R52:S52"/>
    <mergeCell ref="X36:Y36"/>
    <mergeCell ref="T245:U245"/>
    <mergeCell ref="C70:F70"/>
    <mergeCell ref="B9:E9"/>
    <mergeCell ref="V92:W92"/>
    <mergeCell ref="C106:F106"/>
    <mergeCell ref="C228:F228"/>
    <mergeCell ref="X67:Y67"/>
    <mergeCell ref="G50:J50"/>
    <mergeCell ref="B4:E4"/>
    <mergeCell ref="C101:F101"/>
    <mergeCell ref="G236:J236"/>
    <mergeCell ref="G52:J52"/>
    <mergeCell ref="R192:S192"/>
    <mergeCell ref="X64:Y64"/>
    <mergeCell ref="C246:F246"/>
    <mergeCell ref="R194:S194"/>
    <mergeCell ref="K91:N91"/>
    <mergeCell ref="K85:N85"/>
    <mergeCell ref="O34:Q34"/>
    <mergeCell ref="X93:Y93"/>
    <mergeCell ref="G264:J264"/>
    <mergeCell ref="K84:N84"/>
    <mergeCell ref="T258:U258"/>
    <mergeCell ref="V174:W174"/>
    <mergeCell ref="O36:Q36"/>
    <mergeCell ref="K86:N86"/>
    <mergeCell ref="O65:Q65"/>
    <mergeCell ref="K233:N233"/>
    <mergeCell ref="O56:Q56"/>
    <mergeCell ref="V44:W44"/>
    <mergeCell ref="R126:S126"/>
    <mergeCell ref="O85:Q85"/>
    <mergeCell ref="X108:Y108"/>
    <mergeCell ref="K99:N99"/>
    <mergeCell ref="C173:F173"/>
    <mergeCell ref="K155:N155"/>
    <mergeCell ref="K130:N130"/>
    <mergeCell ref="R266:S266"/>
    <mergeCell ref="K157:N157"/>
    <mergeCell ref="O75:Q75"/>
    <mergeCell ref="R137:S137"/>
    <mergeCell ref="V88:W88"/>
    <mergeCell ref="T53:U53"/>
    <mergeCell ref="C199:F199"/>
    <mergeCell ref="T55:U55"/>
    <mergeCell ref="V117:W117"/>
    <mergeCell ref="X190:Y190"/>
    <mergeCell ref="X146:Y146"/>
    <mergeCell ref="V119:W119"/>
    <mergeCell ref="G48:J48"/>
    <mergeCell ref="X175:Y175"/>
    <mergeCell ref="X58:Y58"/>
    <mergeCell ref="X60:Y60"/>
    <mergeCell ref="O155:Q155"/>
    <mergeCell ref="K56:N56"/>
    <mergeCell ref="X176:Y176"/>
    <mergeCell ref="K178:N178"/>
    <mergeCell ref="C252:F252"/>
    <mergeCell ref="T37:U37"/>
    <mergeCell ref="K249:W249"/>
    <mergeCell ref="K170:N170"/>
    <mergeCell ref="O157:Q157"/>
    <mergeCell ref="X201:Y201"/>
    <mergeCell ref="G250:J250"/>
    <mergeCell ref="G76:J76"/>
    <mergeCell ref="K198:N198"/>
    <mergeCell ref="C113:F113"/>
    <mergeCell ref="X231:Y231"/>
    <mergeCell ref="C271:F271"/>
    <mergeCell ref="C265:F265"/>
    <mergeCell ref="C142:F142"/>
    <mergeCell ref="O170:Q170"/>
    <mergeCell ref="O53:Q53"/>
    <mergeCell ref="G87:J87"/>
    <mergeCell ref="G89:J89"/>
    <mergeCell ref="X99:Y99"/>
    <mergeCell ref="K97:N97"/>
    <mergeCell ref="X135:Y135"/>
    <mergeCell ref="R229:S229"/>
    <mergeCell ref="X101:Y101"/>
    <mergeCell ref="K128:N128"/>
    <mergeCell ref="K242:N242"/>
    <mergeCell ref="K121:N121"/>
    <mergeCell ref="V59:W59"/>
    <mergeCell ref="V211:W211"/>
    <mergeCell ref="R232:S232"/>
    <mergeCell ref="O100:Q100"/>
    <mergeCell ref="C197:F197"/>
    <mergeCell ref="O66:Q66"/>
    <mergeCell ref="O102:Q102"/>
    <mergeCell ref="V54:W54"/>
    <mergeCell ref="O68:Q68"/>
    <mergeCell ref="R102:S102"/>
    <mergeCell ref="O97:Q97"/>
    <mergeCell ref="K270:N270"/>
    <mergeCell ref="T77:U77"/>
    <mergeCell ref="F3:W3"/>
    <mergeCell ref="T166:U166"/>
    <mergeCell ref="O128:Q128"/>
    <mergeCell ref="C32:F32"/>
    <mergeCell ref="O242:Q242"/>
    <mergeCell ref="C208:F208"/>
    <mergeCell ref="K265:N265"/>
    <mergeCell ref="T168:U168"/>
    <mergeCell ref="V230:W230"/>
    <mergeCell ref="G159:J159"/>
    <mergeCell ref="V224:W224"/>
    <mergeCell ref="V143:W143"/>
    <mergeCell ref="X199:Y199"/>
    <mergeCell ref="C210:F210"/>
    <mergeCell ref="G161:J161"/>
    <mergeCell ref="V136:W136"/>
    <mergeCell ref="K192:N192"/>
    <mergeCell ref="X42:Y42"/>
    <mergeCell ref="X200:Y200"/>
    <mergeCell ref="K194:N194"/>
    <mergeCell ref="G156:J156"/>
    <mergeCell ref="C50:F50"/>
    <mergeCell ref="V125:W125"/>
    <mergeCell ref="T90:U90"/>
    <mergeCell ref="C236:F236"/>
    <mergeCell ref="F16:W16"/>
    <mergeCell ref="O166:Q166"/>
    <mergeCell ref="T98:U98"/>
    <mergeCell ref="V154:W154"/>
    <mergeCell ref="X43:Y43"/>
    <mergeCell ref="T91:U91"/>
    <mergeCell ref="O168:Q168"/>
    <mergeCell ref="G91:J91"/>
    <mergeCell ref="V156:W156"/>
    <mergeCell ref="G85:J85"/>
    <mergeCell ref="O167:Q167"/>
    <mergeCell ref="T93:U93"/>
    <mergeCell ref="C264:F264"/>
    <mergeCell ref="G84:J84"/>
    <mergeCell ref="X184:Y184"/>
    <mergeCell ref="R174:S174"/>
    <mergeCell ref="T108:U108"/>
    <mergeCell ref="G86:J86"/>
    <mergeCell ref="T118:U118"/>
    <mergeCell ref="R45:S45"/>
    <mergeCell ref="X126:Y126"/>
    <mergeCell ref="T232:U232"/>
    <mergeCell ref="O194:Q194"/>
    <mergeCell ref="V207:W207"/>
    <mergeCell ref="V182:W182"/>
    <mergeCell ref="T109:U109"/>
    <mergeCell ref="T75:U75"/>
    <mergeCell ref="K208:N208"/>
    <mergeCell ref="X271:Y271"/>
    <mergeCell ref="V50:W50"/>
    <mergeCell ref="G148:J148"/>
    <mergeCell ref="X273:Y273"/>
    <mergeCell ref="X144:Y144"/>
    <mergeCell ref="X266:Y266"/>
    <mergeCell ref="O93:Q93"/>
    <mergeCell ref="X268:Y268"/>
    <mergeCell ref="K259:N259"/>
    <mergeCell ref="G99:J99"/>
    <mergeCell ref="K234:N234"/>
    <mergeCell ref="C179:F179"/>
    <mergeCell ref="F22:W22"/>
    <mergeCell ref="G130:J130"/>
    <mergeCell ref="V220:W220"/>
    <mergeCell ref="O126:Q126"/>
    <mergeCell ref="O119:Q119"/>
    <mergeCell ref="V222:W222"/>
    <mergeCell ref="R116:S116"/>
    <mergeCell ref="V221:W221"/>
    <mergeCell ref="T188:U188"/>
    <mergeCell ref="V223:W223"/>
    <mergeCell ref="T190:U190"/>
    <mergeCell ref="R117:S117"/>
    <mergeCell ref="O108:Q108"/>
    <mergeCell ref="O266:Q266"/>
    <mergeCell ref="F12:W12"/>
    <mergeCell ref="X12:Y12"/>
    <mergeCell ref="C48:F48"/>
    <mergeCell ref="R119:S119"/>
    <mergeCell ref="V254:W254"/>
    <mergeCell ref="O137:Q137"/>
    <mergeCell ref="O259:Q259"/>
    <mergeCell ref="K160:N160"/>
    <mergeCell ref="G54:J54"/>
    <mergeCell ref="O139:Q139"/>
    <mergeCell ref="O261:Q261"/>
    <mergeCell ref="G56:J56"/>
    <mergeCell ref="G214:J214"/>
    <mergeCell ref="K34:N34"/>
    <mergeCell ref="R145:S145"/>
    <mergeCell ref="C74:F74"/>
    <mergeCell ref="R139:S139"/>
    <mergeCell ref="T201:U201"/>
    <mergeCell ref="K36:N36"/>
    <mergeCell ref="R147:S147"/>
    <mergeCell ref="O190:Q190"/>
    <mergeCell ref="B8:E8"/>
    <mergeCell ref="F25:W25"/>
    <mergeCell ref="X25:Y25"/>
    <mergeCell ref="V267:W267"/>
    <mergeCell ref="B10:E10"/>
    <mergeCell ref="X236:Y236"/>
    <mergeCell ref="G225:J225"/>
    <mergeCell ref="R67:S67"/>
    <mergeCell ref="T231:U231"/>
    <mergeCell ref="O193:Q193"/>
    <mergeCell ref="X237:Y237"/>
    <mergeCell ref="R69:S69"/>
    <mergeCell ref="R158:S158"/>
    <mergeCell ref="C87:F87"/>
    <mergeCell ref="K49:N49"/>
    <mergeCell ref="R193:S193"/>
    <mergeCell ref="T127:U127"/>
    <mergeCell ref="K266:N266"/>
    <mergeCell ref="C89:F89"/>
    <mergeCell ref="C116:F116"/>
    <mergeCell ref="O209:Q209"/>
    <mergeCell ref="K232:N232"/>
    <mergeCell ref="T135:U135"/>
    <mergeCell ref="C88:F88"/>
    <mergeCell ref="V191:W191"/>
    <mergeCell ref="B21:E21"/>
    <mergeCell ref="V51:W51"/>
    <mergeCell ref="X80:Y80"/>
    <mergeCell ref="T128:U128"/>
    <mergeCell ref="K261:N261"/>
    <mergeCell ref="G128:J128"/>
    <mergeCell ref="X255:Y255"/>
    <mergeCell ref="B23:E23"/>
    <mergeCell ref="G121:J121"/>
    <mergeCell ref="R211:S211"/>
    <mergeCell ref="V219:W219"/>
    <mergeCell ref="K250:N250"/>
    <mergeCell ref="V33:W33"/>
    <mergeCell ref="T269:U269"/>
    <mergeCell ref="X8:Y8"/>
    <mergeCell ref="T146:U146"/>
    <mergeCell ref="V35:W35"/>
    <mergeCell ref="T181:U181"/>
    <mergeCell ref="O257:Q257"/>
    <mergeCell ref="A276:Y276"/>
    <mergeCell ref="V245:W245"/>
    <mergeCell ref="X3:Y3"/>
    <mergeCell ref="A1:Y1"/>
    <mergeCell ref="X5:Y5"/>
    <mergeCell ref="R230:S230"/>
    <mergeCell ref="K63:W63"/>
    <mergeCell ref="V118:W118"/>
    <mergeCell ref="R224:S224"/>
    <mergeCell ref="R143:S143"/>
    <mergeCell ref="T199:U199"/>
    <mergeCell ref="C188:F188"/>
    <mergeCell ref="R136:S136"/>
    <mergeCell ref="O250:Q250"/>
    <mergeCell ref="C76:F76"/>
    <mergeCell ref="X21:Y21"/>
    <mergeCell ref="T200:U200"/>
    <mergeCell ref="B6:E6"/>
    <mergeCell ref="V265:W265"/>
    <mergeCell ref="X23:Y23"/>
    <mergeCell ref="G221:J221"/>
    <mergeCell ref="X181:Y181"/>
    <mergeCell ref="V258:W258"/>
    <mergeCell ref="X16:Y16"/>
    <mergeCell ref="G223:J223"/>
    <mergeCell ref="G198:J198"/>
    <mergeCell ref="K205:W205"/>
    <mergeCell ref="X18:Y18"/>
    <mergeCell ref="V260:W260"/>
    <mergeCell ref="R154:S154"/>
    <mergeCell ref="K45:N45"/>
    <mergeCell ref="X235:Y235"/>
    <mergeCell ref="K55:N55"/>
    <mergeCell ref="R156:S156"/>
    <mergeCell ref="C112:F112"/>
    <mergeCell ref="K169:N169"/>
    <mergeCell ref="K240:W240"/>
    <mergeCell ref="C84:F84"/>
    <mergeCell ref="B17:E17"/>
    <mergeCell ref="C114:F114"/>
    <mergeCell ref="G249:J249"/>
    <mergeCell ref="B19:E19"/>
    <mergeCell ref="R180:S180"/>
    <mergeCell ref="T126:U126"/>
    <mergeCell ref="V188:W188"/>
    <mergeCell ref="G234:J234"/>
    <mergeCell ref="X77:Y77"/>
    <mergeCell ref="R207:S207"/>
    <mergeCell ref="R182:S182"/>
    <mergeCell ref="B20:E20"/>
    <mergeCell ref="T271:U271"/>
    <mergeCell ref="K66:N66"/>
    <mergeCell ref="T273:U273"/>
    <mergeCell ref="K68:N68"/>
    <mergeCell ref="T266:U266"/>
    <mergeCell ref="V60:W60"/>
    <mergeCell ref="X89:Y89"/>
    <mergeCell ref="T268:U268"/>
    <mergeCell ref="X88:Y88"/>
    <mergeCell ref="C99:F99"/>
    <mergeCell ref="X90:Y90"/>
    <mergeCell ref="V57:W57"/>
    <mergeCell ref="C130:F130"/>
    <mergeCell ref="R220:S220"/>
    <mergeCell ref="K117:N117"/>
    <mergeCell ref="O215:Q215"/>
    <mergeCell ref="V86:W86"/>
    <mergeCell ref="R222:S222"/>
    <mergeCell ref="C159:F159"/>
    <mergeCell ref="V42:W42"/>
    <mergeCell ref="C153:F153"/>
    <mergeCell ref="O246:Q246"/>
    <mergeCell ref="V58:W58"/>
    <mergeCell ref="V52:W52"/>
    <mergeCell ref="R221:S221"/>
    <mergeCell ref="C125:F125"/>
    <mergeCell ref="X150:Y150"/>
    <mergeCell ref="C161:F161"/>
    <mergeCell ref="T165:U165"/>
    <mergeCell ref="X116:Y116"/>
    <mergeCell ref="O241:Q241"/>
    <mergeCell ref="X118:Y118"/>
    <mergeCell ref="G194:J194"/>
    <mergeCell ref="O243:Q243"/>
    <mergeCell ref="X20:Y20"/>
    <mergeCell ref="G160:J160"/>
    <mergeCell ref="R125:S125"/>
    <mergeCell ref="C54:F54"/>
    <mergeCell ref="K138:N138"/>
    <mergeCell ref="T41:U41"/>
    <mergeCell ref="V70:W70"/>
    <mergeCell ref="G189:J189"/>
    <mergeCell ref="C56:F56"/>
    <mergeCell ref="O117:Q117"/>
    <mergeCell ref="T43:U43"/>
    <mergeCell ref="C214:F214"/>
    <mergeCell ref="G34:J34"/>
    <mergeCell ref="R120:S120"/>
    <mergeCell ref="C207:F207"/>
    <mergeCell ref="V101:W101"/>
    <mergeCell ref="X188:Y188"/>
    <mergeCell ref="X165:Y165"/>
    <mergeCell ref="K69:N69"/>
    <mergeCell ref="R267:S267"/>
    <mergeCell ref="K158:N158"/>
    <mergeCell ref="T236:U236"/>
    <mergeCell ref="C225:F225"/>
    <mergeCell ref="G176:J176"/>
    <mergeCell ref="K64:N64"/>
    <mergeCell ref="X216:Y216"/>
    <mergeCell ref="T237:U237"/>
    <mergeCell ref="G258:J258"/>
    <mergeCell ref="X218:Y218"/>
    <mergeCell ref="G49:J49"/>
    <mergeCell ref="X59:Y59"/>
    <mergeCell ref="G266:J266"/>
    <mergeCell ref="X211:Y211"/>
    <mergeCell ref="C222:F222"/>
    <mergeCell ref="G260:J260"/>
    <mergeCell ref="K211:N211"/>
    <mergeCell ref="G259:J259"/>
    <mergeCell ref="R191:S191"/>
    <mergeCell ref="O69:Q69"/>
    <mergeCell ref="G261:J261"/>
    <mergeCell ref="C155:F155"/>
    <mergeCell ref="O183:Q183"/>
    <mergeCell ref="T255:U255"/>
    <mergeCell ref="K206:N206"/>
    <mergeCell ref="C157:F157"/>
    <mergeCell ref="K235:N235"/>
    <mergeCell ref="X229:Y229"/>
    <mergeCell ref="T250:U250"/>
    <mergeCell ref="R244:S244"/>
    <mergeCell ref="K32:W32"/>
    <mergeCell ref="K224:N224"/>
    <mergeCell ref="X143:Y143"/>
    <mergeCell ref="R273:S273"/>
    <mergeCell ref="R245:S245"/>
    <mergeCell ref="K136:N136"/>
    <mergeCell ref="V68:W68"/>
    <mergeCell ref="X130:Y130"/>
    <mergeCell ref="K225:N225"/>
    <mergeCell ref="O54:Q54"/>
    <mergeCell ref="V67:W67"/>
    <mergeCell ref="V97:W97"/>
    <mergeCell ref="X159:Y159"/>
    <mergeCell ref="C170:F170"/>
    <mergeCell ref="V69:W69"/>
    <mergeCell ref="X125:Y125"/>
    <mergeCell ref="X161:Y161"/>
    <mergeCell ref="V98:W98"/>
    <mergeCell ref="X127:Y127"/>
    <mergeCell ref="X154:Y154"/>
    <mergeCell ref="X156:Y156"/>
    <mergeCell ref="R258:S258"/>
    <mergeCell ref="K149:N149"/>
    <mergeCell ref="C223:F223"/>
    <mergeCell ref="T52:U52"/>
    <mergeCell ref="T174:U174"/>
    <mergeCell ref="C198:F198"/>
    <mergeCell ref="K264:W264"/>
    <mergeCell ref="O136:Q136"/>
    <mergeCell ref="O92:Q92"/>
    <mergeCell ref="R260:S260"/>
    <mergeCell ref="V116:W116"/>
    <mergeCell ref="G45:J45"/>
    <mergeCell ref="G55:J55"/>
    <mergeCell ref="T49:U49"/>
    <mergeCell ref="T42:U42"/>
    <mergeCell ref="G40:J40"/>
    <mergeCell ref="K175:N175"/>
    <mergeCell ref="T78:U78"/>
    <mergeCell ref="C249:F249"/>
    <mergeCell ref="F23:W23"/>
    <mergeCell ref="T50:U50"/>
    <mergeCell ref="T44:U44"/>
    <mergeCell ref="O154:Q154"/>
    <mergeCell ref="K177:N177"/>
    <mergeCell ref="T80:U80"/>
    <mergeCell ref="V167:W167"/>
    <mergeCell ref="C234:F234"/>
    <mergeCell ref="V108:W108"/>
    <mergeCell ref="V169:W169"/>
    <mergeCell ref="C121:F121"/>
    <mergeCell ref="O149:Q149"/>
    <mergeCell ref="G66:J66"/>
    <mergeCell ref="G74:J74"/>
    <mergeCell ref="G68:J68"/>
    <mergeCell ref="R58:S58"/>
    <mergeCell ref="R33:S33"/>
    <mergeCell ref="X70:Y70"/>
    <mergeCell ref="R60:S60"/>
    <mergeCell ref="X222:Y222"/>
    <mergeCell ref="O84:Q84"/>
    <mergeCell ref="K101:N101"/>
    <mergeCell ref="K221:N221"/>
    <mergeCell ref="O50:Q50"/>
    <mergeCell ref="K215:N215"/>
    <mergeCell ref="V180:W180"/>
    <mergeCell ref="O80:Q80"/>
    <mergeCell ref="V190:W190"/>
    <mergeCell ref="T117:U117"/>
    <mergeCell ref="K223:N223"/>
    <mergeCell ref="O52:Q52"/>
    <mergeCell ref="O79:Q79"/>
    <mergeCell ref="X254:Y254"/>
    <mergeCell ref="R86:S86"/>
    <mergeCell ref="R42:S42"/>
    <mergeCell ref="G112:J112"/>
    <mergeCell ref="C192:F192"/>
    <mergeCell ref="F10:W10"/>
    <mergeCell ref="K243:N243"/>
    <mergeCell ref="V208:W208"/>
    <mergeCell ref="K120:N120"/>
    <mergeCell ref="C194:F194"/>
    <mergeCell ref="O222:Q222"/>
    <mergeCell ref="V210:W210"/>
    <mergeCell ref="X272:Y272"/>
    <mergeCell ref="O99:Q99"/>
    <mergeCell ref="O221:Q221"/>
    <mergeCell ref="G138:J138"/>
    <mergeCell ref="O223:Q223"/>
    <mergeCell ref="X178:Y178"/>
    <mergeCell ref="C189:F189"/>
    <mergeCell ref="C34:F34"/>
    <mergeCell ref="R99:S99"/>
    <mergeCell ref="V107:W107"/>
    <mergeCell ref="T74:U74"/>
    <mergeCell ref="G169:J169"/>
    <mergeCell ref="R101:S101"/>
    <mergeCell ref="O150:Q150"/>
    <mergeCell ref="T76:U76"/>
    <mergeCell ref="V138:W138"/>
    <mergeCell ref="C205:F205"/>
    <mergeCell ref="C65:F65"/>
    <mergeCell ref="T69:U69"/>
    <mergeCell ref="O145:Q145"/>
    <mergeCell ref="X22:Y22"/>
    <mergeCell ref="C60:F60"/>
    <mergeCell ref="X198:Y198"/>
    <mergeCell ref="O147:Q147"/>
    <mergeCell ref="V135:W135"/>
    <mergeCell ref="G64:J64"/>
    <mergeCell ref="X191:Y191"/>
    <mergeCell ref="G153:J153"/>
    <mergeCell ref="T216:U216"/>
    <mergeCell ref="K184:N184"/>
    <mergeCell ref="T87:U87"/>
    <mergeCell ref="C49:F49"/>
    <mergeCell ref="T59:U59"/>
    <mergeCell ref="C266:F266"/>
    <mergeCell ref="T89:U89"/>
    <mergeCell ref="T211:U211"/>
    <mergeCell ref="C42:F42"/>
    <mergeCell ref="T88:U88"/>
    <mergeCell ref="O165:Q165"/>
    <mergeCell ref="C259:F259"/>
    <mergeCell ref="T219:U219"/>
    <mergeCell ref="X33:Y33"/>
    <mergeCell ref="G240:J240"/>
    <mergeCell ref="C261:F261"/>
    <mergeCell ref="V146:W146"/>
    <mergeCell ref="X41:Y41"/>
    <mergeCell ref="X35:Y35"/>
    <mergeCell ref="C75:F75"/>
    <mergeCell ref="O160:Q160"/>
    <mergeCell ref="X252:Y252"/>
    <mergeCell ref="G83:J83"/>
    <mergeCell ref="T115:U115"/>
    <mergeCell ref="G235:J235"/>
    <mergeCell ref="T229:U229"/>
    <mergeCell ref="O191:Q191"/>
    <mergeCell ref="K245:N245"/>
    <mergeCell ref="R44:S44"/>
    <mergeCell ref="R166:S166"/>
    <mergeCell ref="O184:Q184"/>
    <mergeCell ref="V206:W206"/>
    <mergeCell ref="T230:U230"/>
    <mergeCell ref="K65:N65"/>
    <mergeCell ref="O192:Q192"/>
    <mergeCell ref="T143:U143"/>
    <mergeCell ref="V199:W199"/>
    <mergeCell ref="O219:Q219"/>
    <mergeCell ref="G136:J136"/>
    <mergeCell ref="R70:S70"/>
    <mergeCell ref="O90:Q90"/>
    <mergeCell ref="X265:Y265"/>
    <mergeCell ref="R97:S97"/>
    <mergeCell ref="T159:U159"/>
    <mergeCell ref="K258:N258"/>
    <mergeCell ref="T161:U161"/>
    <mergeCell ref="F19:W19"/>
    <mergeCell ref="V217:W217"/>
    <mergeCell ref="O245:Q245"/>
    <mergeCell ref="R98:S98"/>
    <mergeCell ref="T154:U154"/>
    <mergeCell ref="K260:N260"/>
    <mergeCell ref="V43:W43"/>
    <mergeCell ref="O230:Q230"/>
    <mergeCell ref="F20:W20"/>
    <mergeCell ref="T156:U156"/>
    <mergeCell ref="O118:Q118"/>
    <mergeCell ref="X107:Y107"/>
    <mergeCell ref="G183:J183"/>
    <mergeCell ref="G193:J193"/>
    <mergeCell ref="G149:J149"/>
    <mergeCell ref="R108:S108"/>
    <mergeCell ref="R118:S118"/>
    <mergeCell ref="T180:U180"/>
    <mergeCell ref="G178:J178"/>
    <mergeCell ref="F9:W9"/>
    <mergeCell ref="T182:U182"/>
    <mergeCell ref="R109:S109"/>
    <mergeCell ref="G209:J209"/>
    <mergeCell ref="O258:Q258"/>
    <mergeCell ref="V271:W271"/>
    <mergeCell ref="F4:W4"/>
    <mergeCell ref="X4:Y4"/>
    <mergeCell ref="C40:F40"/>
    <mergeCell ref="G175:J175"/>
    <mergeCell ref="V246:W246"/>
    <mergeCell ref="T86:U86"/>
    <mergeCell ref="R265:S265"/>
    <mergeCell ref="O260:Q260"/>
    <mergeCell ref="V273:W273"/>
    <mergeCell ref="G177:J177"/>
    <mergeCell ref="V144:W144"/>
    <mergeCell ref="R169:S169"/>
    <mergeCell ref="G206:J206"/>
    <mergeCell ref="C66:F66"/>
    <mergeCell ref="C102:F102"/>
    <mergeCell ref="O189:Q189"/>
    <mergeCell ref="T106:U106"/>
    <mergeCell ref="C68:F68"/>
    <mergeCell ref="B7:E7"/>
    <mergeCell ref="O188:Q188"/>
    <mergeCell ref="O182:Q182"/>
    <mergeCell ref="R35:S35"/>
    <mergeCell ref="V170:W170"/>
    <mergeCell ref="X65:Y65"/>
    <mergeCell ref="C97:F97"/>
    <mergeCell ref="G224:J224"/>
    <mergeCell ref="G101:J101"/>
    <mergeCell ref="R66:S66"/>
    <mergeCell ref="R188:S188"/>
    <mergeCell ref="X50:Y50"/>
    <mergeCell ref="T253:U253"/>
    <mergeCell ref="C242:F242"/>
    <mergeCell ref="R68:S68"/>
    <mergeCell ref="T130:U130"/>
    <mergeCell ref="R190:S190"/>
    <mergeCell ref="C244:F244"/>
    <mergeCell ref="T254:U254"/>
    <mergeCell ref="T125:U125"/>
    <mergeCell ref="T256:U256"/>
    <mergeCell ref="O201:Q201"/>
    <mergeCell ref="O55:Q55"/>
    <mergeCell ref="X78:Y78"/>
    <mergeCell ref="R208:S208"/>
    <mergeCell ref="G120:J120"/>
    <mergeCell ref="R201:S201"/>
    <mergeCell ref="R209:S209"/>
    <mergeCell ref="K100:N100"/>
    <mergeCell ref="K173:W173"/>
    <mergeCell ref="C168:F168"/>
    <mergeCell ref="T178:U178"/>
    <mergeCell ref="V243:W243"/>
    <mergeCell ref="C167:F167"/>
    <mergeCell ref="T267:U267"/>
    <mergeCell ref="K102:N102"/>
    <mergeCell ref="O254:Q254"/>
    <mergeCell ref="O45:Q45"/>
    <mergeCell ref="V242:W242"/>
    <mergeCell ref="V236:W236"/>
    <mergeCell ref="C169:F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2026-10-16T14:04:47Z</dcterms:created>
  <dcterms:modified xmlns:dcterms="http://purl.org/dc/terms/" xmlns:xsi="http://www.w3.org/2001/XMLSchema-instance" xsi:type="dcterms:W3CDTF">2026-10-16T14:04:48Z</dcterms:modified>
</cp:coreProperties>
</file>